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18577cc628e90ff9/Documents/Data Portfolio/"/>
    </mc:Choice>
  </mc:AlternateContent>
  <xr:revisionPtr revIDLastSave="0" documentId="8_{962B953F-484F-483D-93E8-3F1A542FBF4B}" xr6:coauthVersionLast="47" xr6:coauthVersionMax="47" xr10:uidLastSave="{00000000-0000-0000-0000-000000000000}"/>
  <bookViews>
    <workbookView xWindow="-108" yWindow="-108" windowWidth="23256" windowHeight="13176" activeTab="9" xr2:uid="{FB46BD2E-2121-4FA5-90B2-E7B1A2EC2466}"/>
  </bookViews>
  <sheets>
    <sheet name="Sales" sheetId="1" r:id="rId1"/>
    <sheet name="Products" sheetId="2" r:id="rId2"/>
    <sheet name="Customer_info" sheetId="3" r:id="rId3"/>
    <sheet name="Sheet1" sheetId="4" r:id="rId4"/>
    <sheet name="Sheet2" sheetId="7" r:id="rId5"/>
    <sheet name="Sheet3" sheetId="8" r:id="rId6"/>
    <sheet name="Sheet4" sheetId="9" r:id="rId7"/>
    <sheet name="Sheet5" sheetId="10" r:id="rId8"/>
    <sheet name="Sheet6" sheetId="11" r:id="rId9"/>
    <sheet name="DASHBOARD" sheetId="12" r:id="rId10"/>
  </sheets>
  <definedNames>
    <definedName name="Slicer_Category">#N/A</definedName>
    <definedName name="Slicer_Country">#N/A</definedName>
    <definedName name="Slicer_Months">#N/A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alcChain>
</file>

<file path=xl/sharedStrings.xml><?xml version="1.0" encoding="utf-8"?>
<sst xmlns="http://schemas.openxmlformats.org/spreadsheetml/2006/main" count="1753" uniqueCount="842">
  <si>
    <t>OrderID</t>
  </si>
  <si>
    <t>OrderDate</t>
  </si>
  <si>
    <t>Days</t>
  </si>
  <si>
    <t>Months</t>
  </si>
  <si>
    <t>CustomerID</t>
  </si>
  <si>
    <t>ProductID</t>
  </si>
  <si>
    <t>Quantity</t>
  </si>
  <si>
    <t>SalesAmount</t>
  </si>
  <si>
    <t>ProductName</t>
  </si>
  <si>
    <t>Category</t>
  </si>
  <si>
    <t>UnitPrice</t>
  </si>
  <si>
    <t>CustomerName</t>
  </si>
  <si>
    <t>Country</t>
  </si>
  <si>
    <t>Email</t>
  </si>
  <si>
    <t>ORD0001</t>
  </si>
  <si>
    <t>CUST115</t>
  </si>
  <si>
    <t>PROD020</t>
  </si>
  <si>
    <t>ORD0002</t>
  </si>
  <si>
    <t>CUST077</t>
  </si>
  <si>
    <t>PROD032</t>
  </si>
  <si>
    <t>ORD0003</t>
  </si>
  <si>
    <t>CUST091</t>
  </si>
  <si>
    <t>PROD017</t>
  </si>
  <si>
    <t>ORD0004</t>
  </si>
  <si>
    <t>CUST097</t>
  </si>
  <si>
    <t>PROD006</t>
  </si>
  <si>
    <t>ORD0005</t>
  </si>
  <si>
    <t>CUST018</t>
  </si>
  <si>
    <t>PROD039</t>
  </si>
  <si>
    <t>ORD0006</t>
  </si>
  <si>
    <t>CUST038</t>
  </si>
  <si>
    <t>PROD007</t>
  </si>
  <si>
    <t>ORD0007</t>
  </si>
  <si>
    <t>CUST060</t>
  </si>
  <si>
    <t>PROD027</t>
  </si>
  <si>
    <t>ORD0008</t>
  </si>
  <si>
    <t>PROD024</t>
  </si>
  <si>
    <t>ORD0009</t>
  </si>
  <si>
    <t>CUST006</t>
  </si>
  <si>
    <t>ORD0010</t>
  </si>
  <si>
    <t>CUST021</t>
  </si>
  <si>
    <t>ORD0011</t>
  </si>
  <si>
    <t>CUST041</t>
  </si>
  <si>
    <t>PROD005</t>
  </si>
  <si>
    <t>ORD0012</t>
  </si>
  <si>
    <t>CUST110</t>
  </si>
  <si>
    <t>PROD028</t>
  </si>
  <si>
    <t>ORD0013</t>
  </si>
  <si>
    <t>CUST025</t>
  </si>
  <si>
    <t>PROD033</t>
  </si>
  <si>
    <t>ORD0014</t>
  </si>
  <si>
    <t>CUST053</t>
  </si>
  <si>
    <t>PROD015</t>
  </si>
  <si>
    <t>ORD0015</t>
  </si>
  <si>
    <t>CUST043</t>
  </si>
  <si>
    <t>ORD0016</t>
  </si>
  <si>
    <t>CUST049</t>
  </si>
  <si>
    <t>PROD031</t>
  </si>
  <si>
    <t>ORD0017</t>
  </si>
  <si>
    <t>CUST080</t>
  </si>
  <si>
    <t>PROD029</t>
  </si>
  <si>
    <t>ORD0018</t>
  </si>
  <si>
    <t>CUST071</t>
  </si>
  <si>
    <t>PROD040</t>
  </si>
  <si>
    <t>ORD0019</t>
  </si>
  <si>
    <t>CUST083</t>
  </si>
  <si>
    <t>ORD0020</t>
  </si>
  <si>
    <t>ORD0021</t>
  </si>
  <si>
    <t>PROD022</t>
  </si>
  <si>
    <t>ORD0022</t>
  </si>
  <si>
    <t>CUST102</t>
  </si>
  <si>
    <t>PROD019</t>
  </si>
  <si>
    <t>ORD0023</t>
  </si>
  <si>
    <t>CUST061</t>
  </si>
  <si>
    <t>ORD0024</t>
  </si>
  <si>
    <t>CUST104</t>
  </si>
  <si>
    <t>PROD013</t>
  </si>
  <si>
    <t>ORD0025</t>
  </si>
  <si>
    <t>CUST027</t>
  </si>
  <si>
    <t>ORD0026</t>
  </si>
  <si>
    <t>PROD016</t>
  </si>
  <si>
    <t>ORD0027</t>
  </si>
  <si>
    <t>CUST001</t>
  </si>
  <si>
    <t>ORD0028</t>
  </si>
  <si>
    <t>CUST056</t>
  </si>
  <si>
    <t>ORD0029</t>
  </si>
  <si>
    <t>CUST034</t>
  </si>
  <si>
    <t>ORD0030</t>
  </si>
  <si>
    <t>CUST098</t>
  </si>
  <si>
    <t>PROD010</t>
  </si>
  <si>
    <t>ORD0031</t>
  </si>
  <si>
    <t>CUST082</t>
  </si>
  <si>
    <t>ORD0032</t>
  </si>
  <si>
    <t>CUST089</t>
  </si>
  <si>
    <t>ORD0033</t>
  </si>
  <si>
    <t>CUST031</t>
  </si>
  <si>
    <t>ORD0034</t>
  </si>
  <si>
    <t>CUST002</t>
  </si>
  <si>
    <t>ORD0035</t>
  </si>
  <si>
    <t>CUST092</t>
  </si>
  <si>
    <t>ORD0036</t>
  </si>
  <si>
    <t>CUST073</t>
  </si>
  <si>
    <t>ORD0037</t>
  </si>
  <si>
    <t>CUST099</t>
  </si>
  <si>
    <t>ORD0038</t>
  </si>
  <si>
    <t>CUST014</t>
  </si>
  <si>
    <t>PROD014</t>
  </si>
  <si>
    <t>ORD0039</t>
  </si>
  <si>
    <t>ORD0040</t>
  </si>
  <si>
    <t>CUST081</t>
  </si>
  <si>
    <t>ORD0041</t>
  </si>
  <si>
    <t>PROD026</t>
  </si>
  <si>
    <t>ORD0042</t>
  </si>
  <si>
    <t>CUST100</t>
  </si>
  <si>
    <t>ORD0043</t>
  </si>
  <si>
    <t>CUST086</t>
  </si>
  <si>
    <t>PROD036</t>
  </si>
  <si>
    <t>ORD0044</t>
  </si>
  <si>
    <t>ORD0045</t>
  </si>
  <si>
    <t>CUST059</t>
  </si>
  <si>
    <t>ORD0046</t>
  </si>
  <si>
    <t>CUST050</t>
  </si>
  <si>
    <t>PROD018</t>
  </si>
  <si>
    <t>ORD0047</t>
  </si>
  <si>
    <t>CUST116</t>
  </si>
  <si>
    <t>ORD0048</t>
  </si>
  <si>
    <t>ORD0049</t>
  </si>
  <si>
    <t>ORD0050</t>
  </si>
  <si>
    <t>CUST096</t>
  </si>
  <si>
    <t>ORD0051</t>
  </si>
  <si>
    <t>PROD035</t>
  </si>
  <si>
    <t>ORD0052</t>
  </si>
  <si>
    <t>PROD012</t>
  </si>
  <si>
    <t>ORD0053</t>
  </si>
  <si>
    <t>CUST042</t>
  </si>
  <si>
    <t>ORD0054</t>
  </si>
  <si>
    <t>CUST085</t>
  </si>
  <si>
    <t>PROD030</t>
  </si>
  <si>
    <t>ORD0055</t>
  </si>
  <si>
    <t>CUST084</t>
  </si>
  <si>
    <t>PROD003</t>
  </si>
  <si>
    <t>ORD0056</t>
  </si>
  <si>
    <t>ORD0057</t>
  </si>
  <si>
    <t>CUST005</t>
  </si>
  <si>
    <t>PROD001</t>
  </si>
  <si>
    <t>ORD0058</t>
  </si>
  <si>
    <t>ORD0059</t>
  </si>
  <si>
    <t>CUST030</t>
  </si>
  <si>
    <t>ORD0060</t>
  </si>
  <si>
    <t>CUST101</t>
  </si>
  <si>
    <t>ORD0061</t>
  </si>
  <si>
    <t>CUST075</t>
  </si>
  <si>
    <t>ORD0062</t>
  </si>
  <si>
    <t>CUST066</t>
  </si>
  <si>
    <t>PROD008</t>
  </si>
  <si>
    <t>ORD0063</t>
  </si>
  <si>
    <t>PROD011</t>
  </si>
  <si>
    <t>ORD0064</t>
  </si>
  <si>
    <t>CUST012</t>
  </si>
  <si>
    <t>ORD0065</t>
  </si>
  <si>
    <t>PROD038</t>
  </si>
  <si>
    <t>ORD0066</t>
  </si>
  <si>
    <t>ORD0067</t>
  </si>
  <si>
    <t>ORD0068</t>
  </si>
  <si>
    <t>ORD0069</t>
  </si>
  <si>
    <t>ORD0070</t>
  </si>
  <si>
    <t>ORD0071</t>
  </si>
  <si>
    <t>CUST079</t>
  </si>
  <si>
    <t>PROD037</t>
  </si>
  <si>
    <t>ORD0072</t>
  </si>
  <si>
    <t>ORD0073</t>
  </si>
  <si>
    <t>ORD0074</t>
  </si>
  <si>
    <t>ORD0075</t>
  </si>
  <si>
    <t>PROD002</t>
  </si>
  <si>
    <t>ORD0076</t>
  </si>
  <si>
    <t>CUST113</t>
  </si>
  <si>
    <t>ORD0077</t>
  </si>
  <si>
    <t>ORD0078</t>
  </si>
  <si>
    <t>CUST003</t>
  </si>
  <si>
    <t>ORD0079</t>
  </si>
  <si>
    <t>CUST111</t>
  </si>
  <si>
    <t>ORD0080</t>
  </si>
  <si>
    <t>CUST062</t>
  </si>
  <si>
    <t>ORD0081</t>
  </si>
  <si>
    <t>CUST035</t>
  </si>
  <si>
    <t>ORD0082</t>
  </si>
  <si>
    <t>PROD009</t>
  </si>
  <si>
    <t>ORD0083</t>
  </si>
  <si>
    <t>CUST107</t>
  </si>
  <si>
    <t>ORD0084</t>
  </si>
  <si>
    <t>CUST088</t>
  </si>
  <si>
    <t>ORD0085</t>
  </si>
  <si>
    <t>ORD0086</t>
  </si>
  <si>
    <t>CUST087</t>
  </si>
  <si>
    <t>ORD0087</t>
  </si>
  <si>
    <t>ORD0088</t>
  </si>
  <si>
    <t>CUST094</t>
  </si>
  <si>
    <t>ORD0089</t>
  </si>
  <si>
    <t>ORD0090</t>
  </si>
  <si>
    <t>ORD0091</t>
  </si>
  <si>
    <t>ORD0092</t>
  </si>
  <si>
    <t>ORD0093</t>
  </si>
  <si>
    <t>ORD0094</t>
  </si>
  <si>
    <t>CUST032</t>
  </si>
  <si>
    <t>PROD023</t>
  </si>
  <si>
    <t>ORD0095</t>
  </si>
  <si>
    <t>CUST069</t>
  </si>
  <si>
    <t>ORD0096</t>
  </si>
  <si>
    <t>ORD0097</t>
  </si>
  <si>
    <t>ORD0098</t>
  </si>
  <si>
    <t>CUST048</t>
  </si>
  <si>
    <t>ORD0099</t>
  </si>
  <si>
    <t>ORD0100</t>
  </si>
  <si>
    <t>ORD0101</t>
  </si>
  <si>
    <t>CUST010</t>
  </si>
  <si>
    <t>ORD0102</t>
  </si>
  <si>
    <t>ORD0103</t>
  </si>
  <si>
    <t>CUST063</t>
  </si>
  <si>
    <t>ORD0104</t>
  </si>
  <si>
    <t>CUST036</t>
  </si>
  <si>
    <t>ORD0105</t>
  </si>
  <si>
    <t>ORD0106</t>
  </si>
  <si>
    <t>CUST046</t>
  </si>
  <si>
    <t>ORD0107</t>
  </si>
  <si>
    <t>ORD0108</t>
  </si>
  <si>
    <t>ORD0109</t>
  </si>
  <si>
    <t>CUST064</t>
  </si>
  <si>
    <t>ORD0110</t>
  </si>
  <si>
    <t>ORD0111</t>
  </si>
  <si>
    <t>ORD0112</t>
  </si>
  <si>
    <t>CUST106</t>
  </si>
  <si>
    <t>ORD0113</t>
  </si>
  <si>
    <t>ORD0114</t>
  </si>
  <si>
    <t>PROD021</t>
  </si>
  <si>
    <t>ORD0115</t>
  </si>
  <si>
    <t>ORD0116</t>
  </si>
  <si>
    <t>ORD0117</t>
  </si>
  <si>
    <t>CUST009</t>
  </si>
  <si>
    <t>ORD0118</t>
  </si>
  <si>
    <t>PROD034</t>
  </si>
  <si>
    <t>ORD0119</t>
  </si>
  <si>
    <t>CUST119</t>
  </si>
  <si>
    <t>ORD0120</t>
  </si>
  <si>
    <t>CUST047</t>
  </si>
  <si>
    <t>ORD0121</t>
  </si>
  <si>
    <t>ORD0122</t>
  </si>
  <si>
    <t>CUST105</t>
  </si>
  <si>
    <t>ORD0123</t>
  </si>
  <si>
    <t>ORD0124</t>
  </si>
  <si>
    <t>CUST015</t>
  </si>
  <si>
    <t>ORD0125</t>
  </si>
  <si>
    <t>CUST029</t>
  </si>
  <si>
    <t>ORD0126</t>
  </si>
  <si>
    <t>CUST008</t>
  </si>
  <si>
    <t>ORD0127</t>
  </si>
  <si>
    <t>CUST114</t>
  </si>
  <si>
    <t>ORD0128</t>
  </si>
  <si>
    <t>CUST026</t>
  </si>
  <si>
    <t>ORD0129</t>
  </si>
  <si>
    <t>ORD0130</t>
  </si>
  <si>
    <t>ORD0131</t>
  </si>
  <si>
    <t>ORD0132</t>
  </si>
  <si>
    <t>ORD0133</t>
  </si>
  <si>
    <t>CUST058</t>
  </si>
  <si>
    <t>ORD0134</t>
  </si>
  <si>
    <t>ORD0135</t>
  </si>
  <si>
    <t>CUST045</t>
  </si>
  <si>
    <t>ORD0136</t>
  </si>
  <si>
    <t>PROD025</t>
  </si>
  <si>
    <t>ORD0137</t>
  </si>
  <si>
    <t>ORD0138</t>
  </si>
  <si>
    <t>ORD0139</t>
  </si>
  <si>
    <t>CUST067</t>
  </si>
  <si>
    <t>ORD0140</t>
  </si>
  <si>
    <t>ORD0141</t>
  </si>
  <si>
    <t>ORD0142</t>
  </si>
  <si>
    <t>ORD0143</t>
  </si>
  <si>
    <t>CUST020</t>
  </si>
  <si>
    <t>ORD0144</t>
  </si>
  <si>
    <t>ORD0145</t>
  </si>
  <si>
    <t>ORD0146</t>
  </si>
  <si>
    <t>ORD0147</t>
  </si>
  <si>
    <t>ORD0148</t>
  </si>
  <si>
    <t>ORD0149</t>
  </si>
  <si>
    <t>ORD0150</t>
  </si>
  <si>
    <t>ORD0151</t>
  </si>
  <si>
    <t>CUST076</t>
  </si>
  <si>
    <t>ORD0152</t>
  </si>
  <si>
    <t>CUST011</t>
  </si>
  <si>
    <t>ORD0153</t>
  </si>
  <si>
    <t>ORD0154</t>
  </si>
  <si>
    <t>CUST019</t>
  </si>
  <si>
    <t>ORD0155</t>
  </si>
  <si>
    <t>ORD0156</t>
  </si>
  <si>
    <t>ORD0157</t>
  </si>
  <si>
    <t>ORD0158</t>
  </si>
  <si>
    <t>ORD0159</t>
  </si>
  <si>
    <t>CUST072</t>
  </si>
  <si>
    <t>ORD0160</t>
  </si>
  <si>
    <t>ORD0161</t>
  </si>
  <si>
    <t>ORD0162</t>
  </si>
  <si>
    <t>ORD0163</t>
  </si>
  <si>
    <t>ORD0164</t>
  </si>
  <si>
    <t>CUST016</t>
  </si>
  <si>
    <t>ORD0165</t>
  </si>
  <si>
    <t>CUST112</t>
  </si>
  <si>
    <t>ORD0166</t>
  </si>
  <si>
    <t>CUST120</t>
  </si>
  <si>
    <t>ORD0167</t>
  </si>
  <si>
    <t>ORD0168</t>
  </si>
  <si>
    <t>CUST103</t>
  </si>
  <si>
    <t>ORD0169</t>
  </si>
  <si>
    <t>PROD004</t>
  </si>
  <si>
    <t>ORD0170</t>
  </si>
  <si>
    <t>ORD0171</t>
  </si>
  <si>
    <t>CUST074</t>
  </si>
  <si>
    <t>ORD0172</t>
  </si>
  <si>
    <t>ORD0173</t>
  </si>
  <si>
    <t>CUST023</t>
  </si>
  <si>
    <t>ORD0174</t>
  </si>
  <si>
    <t>CUST051</t>
  </si>
  <si>
    <t>ORD0175</t>
  </si>
  <si>
    <t>ORD0176</t>
  </si>
  <si>
    <t>CUST093</t>
  </si>
  <si>
    <t>ORD0177</t>
  </si>
  <si>
    <t>ORD0178</t>
  </si>
  <si>
    <t>CUST118</t>
  </si>
  <si>
    <t>ORD0179</t>
  </si>
  <si>
    <t>ORD0180</t>
  </si>
  <si>
    <t>ORD0181</t>
  </si>
  <si>
    <t>ORD0182</t>
  </si>
  <si>
    <t>CUST022</t>
  </si>
  <si>
    <t>ORD0183</t>
  </si>
  <si>
    <t>ORD0184</t>
  </si>
  <si>
    <t>ORD0185</t>
  </si>
  <si>
    <t>ORD0186</t>
  </si>
  <si>
    <t>ORD0187</t>
  </si>
  <si>
    <t>ORD0188</t>
  </si>
  <si>
    <t>ORD0189</t>
  </si>
  <si>
    <t>ORD0190</t>
  </si>
  <si>
    <t>ORD0191</t>
  </si>
  <si>
    <t>ORD0192</t>
  </si>
  <si>
    <t>CUST068</t>
  </si>
  <si>
    <t>ORD0193</t>
  </si>
  <si>
    <t>ORD0194</t>
  </si>
  <si>
    <t>ORD0195</t>
  </si>
  <si>
    <t>ORD0196</t>
  </si>
  <si>
    <t>ORD0197</t>
  </si>
  <si>
    <t>ORD0198</t>
  </si>
  <si>
    <t>ORD0199</t>
  </si>
  <si>
    <t>ORD0200</t>
  </si>
  <si>
    <t>ORD0201</t>
  </si>
  <si>
    <t>ORD0202</t>
  </si>
  <si>
    <t>ORD0203</t>
  </si>
  <si>
    <t>CUST024</t>
  </si>
  <si>
    <t>ORD0204</t>
  </si>
  <si>
    <t>ORD0205</t>
  </si>
  <si>
    <t>ORD0206</t>
  </si>
  <si>
    <t>ORD0207</t>
  </si>
  <si>
    <t>ORD0208</t>
  </si>
  <si>
    <t>ORD0209</t>
  </si>
  <si>
    <t>ORD0210</t>
  </si>
  <si>
    <t>ORD0211</t>
  </si>
  <si>
    <t>ORD0212</t>
  </si>
  <si>
    <t>ORD0213</t>
  </si>
  <si>
    <t>ORD0214</t>
  </si>
  <si>
    <t>CUST040</t>
  </si>
  <si>
    <t>ORD0215</t>
  </si>
  <si>
    <t>ORD0216</t>
  </si>
  <si>
    <t>ORD0217</t>
  </si>
  <si>
    <t>ORD0218</t>
  </si>
  <si>
    <t>CUST078</t>
  </si>
  <si>
    <t>ORD0219</t>
  </si>
  <si>
    <t>ORD0220</t>
  </si>
  <si>
    <t>ORD0221</t>
  </si>
  <si>
    <t>CUST044</t>
  </si>
  <si>
    <t>ORD0222</t>
  </si>
  <si>
    <t>ORD0223</t>
  </si>
  <si>
    <t>ORD0224</t>
  </si>
  <si>
    <t>ORD0225</t>
  </si>
  <si>
    <t>ORD0226</t>
  </si>
  <si>
    <t>ORD0227</t>
  </si>
  <si>
    <t>ORD0228</t>
  </si>
  <si>
    <t>ORD0229</t>
  </si>
  <si>
    <t>ORD0230</t>
  </si>
  <si>
    <t>CUST039</t>
  </si>
  <si>
    <t>ORD0231</t>
  </si>
  <si>
    <t>ORD0232</t>
  </si>
  <si>
    <t>ORD0233</t>
  </si>
  <si>
    <t>ORD0234</t>
  </si>
  <si>
    <t>ORD0235</t>
  </si>
  <si>
    <t>ORD0236</t>
  </si>
  <si>
    <t>CUST070</t>
  </si>
  <si>
    <t>ORD0237</t>
  </si>
  <si>
    <t>ORD0238</t>
  </si>
  <si>
    <t>ORD0239</t>
  </si>
  <si>
    <t>CUST109</t>
  </si>
  <si>
    <t>ORD0240</t>
  </si>
  <si>
    <t>ORD0241</t>
  </si>
  <si>
    <t>CUST117</t>
  </si>
  <si>
    <t>ORD0242</t>
  </si>
  <si>
    <t>ORD0243</t>
  </si>
  <si>
    <t>ORD0244</t>
  </si>
  <si>
    <t>ORD0245</t>
  </si>
  <si>
    <t>CUST095</t>
  </si>
  <si>
    <t>ORD0246</t>
  </si>
  <si>
    <t>ORD0247</t>
  </si>
  <si>
    <t>ORD0248</t>
  </si>
  <si>
    <t>ORD0249</t>
  </si>
  <si>
    <t>ORD0250</t>
  </si>
  <si>
    <t>ORD0251</t>
  </si>
  <si>
    <t>ORD0252</t>
  </si>
  <si>
    <t>ORD0253</t>
  </si>
  <si>
    <t>ORD0254</t>
  </si>
  <si>
    <t>ORD0255</t>
  </si>
  <si>
    <t>ORD0256</t>
  </si>
  <si>
    <t>ORD0257</t>
  </si>
  <si>
    <t>ORD0258</t>
  </si>
  <si>
    <t>CUST004</t>
  </si>
  <si>
    <t>ORD0259</t>
  </si>
  <si>
    <t>ORD0260</t>
  </si>
  <si>
    <t>ORD0261</t>
  </si>
  <si>
    <t>ORD0262</t>
  </si>
  <si>
    <t>ORD0263</t>
  </si>
  <si>
    <t>ORD0264</t>
  </si>
  <si>
    <t>ORD0265</t>
  </si>
  <si>
    <t>ORD0266</t>
  </si>
  <si>
    <t>ORD0267</t>
  </si>
  <si>
    <t>ORD0268</t>
  </si>
  <si>
    <t>ORD0269</t>
  </si>
  <si>
    <t>CUST033</t>
  </si>
  <si>
    <t>ORD0270</t>
  </si>
  <si>
    <t>ORD0271</t>
  </si>
  <si>
    <t>ORD0272</t>
  </si>
  <si>
    <t>ORD0273</t>
  </si>
  <si>
    <t>ORD0274</t>
  </si>
  <si>
    <t>ORD0275</t>
  </si>
  <si>
    <t>ORD0276</t>
  </si>
  <si>
    <t>ORD0277</t>
  </si>
  <si>
    <t>CUST054</t>
  </si>
  <si>
    <t>ORD0278</t>
  </si>
  <si>
    <t>ORD0279</t>
  </si>
  <si>
    <t>ORD0280</t>
  </si>
  <si>
    <t>ORD0281</t>
  </si>
  <si>
    <t>CUST108</t>
  </si>
  <si>
    <t>ORD0282</t>
  </si>
  <si>
    <t>ORD0283</t>
  </si>
  <si>
    <t>CUST055</t>
  </si>
  <si>
    <t>ORD0284</t>
  </si>
  <si>
    <t>ORD0285</t>
  </si>
  <si>
    <t>CUST017</t>
  </si>
  <si>
    <t>ORD0286</t>
  </si>
  <si>
    <t>ORD0287</t>
  </si>
  <si>
    <t>ORD0288</t>
  </si>
  <si>
    <t>ORD0289</t>
  </si>
  <si>
    <t>ORD0290</t>
  </si>
  <si>
    <t>ORD0291</t>
  </si>
  <si>
    <t>ORD0292</t>
  </si>
  <si>
    <t>ORD0293</t>
  </si>
  <si>
    <t>CUST090</t>
  </si>
  <si>
    <t>ORD0294</t>
  </si>
  <si>
    <t>ORD0295</t>
  </si>
  <si>
    <t>ORD0296</t>
  </si>
  <si>
    <t>ORD0297</t>
  </si>
  <si>
    <t>ORD0298</t>
  </si>
  <si>
    <t>ORD0299</t>
  </si>
  <si>
    <t>ORD0300</t>
  </si>
  <si>
    <t>ORD0301</t>
  </si>
  <si>
    <t>ORD0302</t>
  </si>
  <si>
    <t>ORD0303</t>
  </si>
  <si>
    <t>ORD0304</t>
  </si>
  <si>
    <t>ORD0305</t>
  </si>
  <si>
    <t>ORD0306</t>
  </si>
  <si>
    <t>ORD0307</t>
  </si>
  <si>
    <t>ORD0308</t>
  </si>
  <si>
    <t>CUST013</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</si>
  <si>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</si>
  <si>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</si>
  <si>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</si>
  <si>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</si>
  <si>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</si>
  <si>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</si>
  <si>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</si>
  <si>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</si>
  <si>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</si>
  <si>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</si>
  <si>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</si>
  <si>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</si>
  <si>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</si>
  <si>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</si>
  <si>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</si>
  <si>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</si>
  <si>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</si>
  <si>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</si>
  <si>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</si>
  <si>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</si>
  <si>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</si>
  <si>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</si>
  <si>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</si>
  <si>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</si>
  <si>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</si>
  <si>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</si>
  <si>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</si>
  <si>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</si>
  <si>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</si>
  <si>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</si>
  <si>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</si>
  <si>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</si>
  <si>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</si>
  <si>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</si>
  <si>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</si>
  <si>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</si>
  <si>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</si>
  <si>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</si>
  <si>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</si>
  <si>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</si>
  <si>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</si>
  <si>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</si>
  <si>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</si>
  <si>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</si>
  <si>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</si>
  <si>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</si>
  <si>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CUST052</t>
  </si>
  <si>
    <t>ORD0355</t>
  </si>
  <si>
    <t>ORD0356</t>
  </si>
  <si>
    <t>ORD0357</t>
  </si>
  <si>
    <t>ORD0358</t>
  </si>
  <si>
    <t>ORD0359</t>
  </si>
  <si>
    <t>ORD0360</t>
  </si>
  <si>
    <t>Product_1</t>
  </si>
  <si>
    <t>Electronics</t>
  </si>
  <si>
    <t>Product_2</t>
  </si>
  <si>
    <t>Product_3</t>
  </si>
  <si>
    <t>Home</t>
  </si>
  <si>
    <t>Product_4</t>
  </si>
  <si>
    <t>Clothing</t>
  </si>
  <si>
    <t>Product_5</t>
  </si>
  <si>
    <t>Sports</t>
  </si>
  <si>
    <t>Product_6</t>
  </si>
  <si>
    <t>Product_7</t>
  </si>
  <si>
    <t>Beauty</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</si>
  <si>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</si>
  <si>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</si>
  <si>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</si>
  <si>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</si>
  <si>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</si>
  <si>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</si>
  <si>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</si>
  <si>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</si>
  <si>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</si>
  <si>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</si>
  <si>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</si>
  <si>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</si>
  <si>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</si>
  <si>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</si>
  <si>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</si>
  <si>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</si>
  <si>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</si>
  <si>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</si>
  <si>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</si>
  <si>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</si>
  <si>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</si>
  <si>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</si>
  <si>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</si>
  <si>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</si>
  <si>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</si>
  <si>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</si>
  <si>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</si>
  <si>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</si>
  <si>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</si>
  <si>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</si>
  <si>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</si>
  <si>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</si>
  <si>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</si>
  <si>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SignupDate</t>
  </si>
  <si>
    <t>Customer_1</t>
  </si>
  <si>
    <t>customer1@email.com</t>
  </si>
  <si>
    <t>India</t>
  </si>
  <si>
    <t>Customer_2</t>
  </si>
  <si>
    <t>customer2@email.com</t>
  </si>
  <si>
    <t>United Kingdom</t>
  </si>
  <si>
    <t>Customer_3</t>
  </si>
  <si>
    <t>customer3@email.com</t>
  </si>
  <si>
    <t>Customer_4</t>
  </si>
  <si>
    <t>customer4@email.com</t>
  </si>
  <si>
    <t>Customer_5</t>
  </si>
  <si>
    <t>customer5@email.com</t>
  </si>
  <si>
    <t>Customer_6</t>
  </si>
  <si>
    <t>customer6@email.com</t>
  </si>
  <si>
    <t>CUST007</t>
  </si>
  <si>
    <t>Customer_7</t>
  </si>
  <si>
    <t>customer7@email.com</t>
  </si>
  <si>
    <t>United States</t>
  </si>
  <si>
    <t>Customer_8</t>
  </si>
  <si>
    <t>customer8@email.com</t>
  </si>
  <si>
    <t>Customer_9</t>
  </si>
  <si>
    <t>customer9@email.com</t>
  </si>
  <si>
    <t>Customer_10</t>
  </si>
  <si>
    <t>customer10@email.com</t>
  </si>
  <si>
    <t>Canada</t>
  </si>
  <si>
    <t>Customer_11</t>
  </si>
  <si>
    <t>customer11@email.com</t>
  </si>
  <si>
    <t>Customer_12</t>
  </si>
  <si>
    <t>customer12@email.com</t>
  </si>
  <si>
    <t>Customer_13</t>
  </si>
  <si>
    <t>customer13@email.com</t>
  </si>
  <si>
    <t>Customer_14</t>
  </si>
  <si>
    <t>customer14@email.com</t>
  </si>
  <si>
    <t>Customer_15</t>
  </si>
  <si>
    <t>customer15@email.com</t>
  </si>
  <si>
    <t>Customer_16</t>
  </si>
  <si>
    <t>customer16@email.com</t>
  </si>
  <si>
    <t>Customer_17</t>
  </si>
  <si>
    <t>customer17@email.com</t>
  </si>
  <si>
    <t>Customer_18</t>
  </si>
  <si>
    <t>customer18@email.com</t>
  </si>
  <si>
    <t>Customer_19</t>
  </si>
  <si>
    <t>customer19@email.com</t>
  </si>
  <si>
    <t>Customer_20</t>
  </si>
  <si>
    <t>customer20@email.com</t>
  </si>
  <si>
    <t>Customer_21</t>
  </si>
  <si>
    <t>customer21@email.com</t>
  </si>
  <si>
    <t>Customer_22</t>
  </si>
  <si>
    <t>customer22@email.com</t>
  </si>
  <si>
    <t>Customer_23</t>
  </si>
  <si>
    <t>customer23@email.com</t>
  </si>
  <si>
    <t>Customer_24</t>
  </si>
  <si>
    <t>customer24@email.com</t>
  </si>
  <si>
    <t>Customer_25</t>
  </si>
  <si>
    <t>customer25@email.com</t>
  </si>
  <si>
    <t>Customer_26</t>
  </si>
  <si>
    <t>customer26@email.com</t>
  </si>
  <si>
    <t>Customer_27</t>
  </si>
  <si>
    <t>customer27@email.com</t>
  </si>
  <si>
    <t>CUST028</t>
  </si>
  <si>
    <t>Customer_28</t>
  </si>
  <si>
    <t>customer28@email.com</t>
  </si>
  <si>
    <t>Customer_29</t>
  </si>
  <si>
    <t>customer29@email.com</t>
  </si>
  <si>
    <t>Customer_30</t>
  </si>
  <si>
    <t>customer30@email.com</t>
  </si>
  <si>
    <t>Customer_31</t>
  </si>
  <si>
    <t>customer31@email.com</t>
  </si>
  <si>
    <t>Customer_32</t>
  </si>
  <si>
    <t>customer32@email.com</t>
  </si>
  <si>
    <t>Customer_33</t>
  </si>
  <si>
    <t>customer33@email.com</t>
  </si>
  <si>
    <t>Customer_34</t>
  </si>
  <si>
    <t>customer34@email.com</t>
  </si>
  <si>
    <t>Customer_35</t>
  </si>
  <si>
    <t>customer35@email.com</t>
  </si>
  <si>
    <t>Customer_36</t>
  </si>
  <si>
    <t>customer36@email.com</t>
  </si>
  <si>
    <t>CUST037</t>
  </si>
  <si>
    <t>Customer_37</t>
  </si>
  <si>
    <t>customer37@email.com</t>
  </si>
  <si>
    <t>Customer_38</t>
  </si>
  <si>
    <t>customer38@email.com</t>
  </si>
  <si>
    <t>Customer_39</t>
  </si>
  <si>
    <t>customer39@email.com</t>
  </si>
  <si>
    <t>Customer_40</t>
  </si>
  <si>
    <t>customer40@email.com</t>
  </si>
  <si>
    <t>Customer_41</t>
  </si>
  <si>
    <t>customer41@email.com</t>
  </si>
  <si>
    <t>Customer_42</t>
  </si>
  <si>
    <t>customer42@email.com</t>
  </si>
  <si>
    <t>Customer_43</t>
  </si>
  <si>
    <t>customer43@email.com</t>
  </si>
  <si>
    <t>Customer_44</t>
  </si>
  <si>
    <t>customer44@email.com</t>
  </si>
  <si>
    <t>Customer_45</t>
  </si>
  <si>
    <t>customer45@email.com</t>
  </si>
  <si>
    <t>Customer_46</t>
  </si>
  <si>
    <t>customer46@email.com</t>
  </si>
  <si>
    <t>Customer_47</t>
  </si>
  <si>
    <t>customer47@email.com</t>
  </si>
  <si>
    <t>Customer_48</t>
  </si>
  <si>
    <t>customer48@email.com</t>
  </si>
  <si>
    <t>Customer_49</t>
  </si>
  <si>
    <t>customer49@email.com</t>
  </si>
  <si>
    <t>Customer_50</t>
  </si>
  <si>
    <t>customer50@email.com</t>
  </si>
  <si>
    <t>Customer_51</t>
  </si>
  <si>
    <t>customer51@email.com</t>
  </si>
  <si>
    <t>Customer_52</t>
  </si>
  <si>
    <t>customer52@email.com</t>
  </si>
  <si>
    <t>Customer_53</t>
  </si>
  <si>
    <t>customer53@email.com</t>
  </si>
  <si>
    <t>Customer_54</t>
  </si>
  <si>
    <t>customer54@email.com</t>
  </si>
  <si>
    <t>Customer_55</t>
  </si>
  <si>
    <t>customer55@email.com</t>
  </si>
  <si>
    <t>Customer_56</t>
  </si>
  <si>
    <t>customer56@email.com</t>
  </si>
  <si>
    <t>CUST057</t>
  </si>
  <si>
    <t>Customer_57</t>
  </si>
  <si>
    <t>customer57@email.com</t>
  </si>
  <si>
    <t>Customer_58</t>
  </si>
  <si>
    <t>customer58@email.com</t>
  </si>
  <si>
    <t>Customer_59</t>
  </si>
  <si>
    <t>customer59@email.com</t>
  </si>
  <si>
    <t>Customer_60</t>
  </si>
  <si>
    <t>customer60@email.com</t>
  </si>
  <si>
    <t>Customer_61</t>
  </si>
  <si>
    <t>customer61@email.com</t>
  </si>
  <si>
    <t>Customer_62</t>
  </si>
  <si>
    <t>customer62@email.com</t>
  </si>
  <si>
    <t>Customer_63</t>
  </si>
  <si>
    <t>customer63@email.com</t>
  </si>
  <si>
    <t>Customer_64</t>
  </si>
  <si>
    <t>customer64@email.com</t>
  </si>
  <si>
    <t>CUST065</t>
  </si>
  <si>
    <t>Customer_65</t>
  </si>
  <si>
    <t>customer65@email.com</t>
  </si>
  <si>
    <t>Customer_66</t>
  </si>
  <si>
    <t>customer66@email.com</t>
  </si>
  <si>
    <t>Customer_67</t>
  </si>
  <si>
    <t>customer67@email.com</t>
  </si>
  <si>
    <t>Customer_68</t>
  </si>
  <si>
    <t>customer68@email.com</t>
  </si>
  <si>
    <t>Customer_69</t>
  </si>
  <si>
    <t>customer69@email.com</t>
  </si>
  <si>
    <t>Customer_70</t>
  </si>
  <si>
    <t>customer70@email.com</t>
  </si>
  <si>
    <t>Customer_71</t>
  </si>
  <si>
    <t>customer71@email.com</t>
  </si>
  <si>
    <t>Customer_72</t>
  </si>
  <si>
    <t>customer72@email.com</t>
  </si>
  <si>
    <t>Customer_73</t>
  </si>
  <si>
    <t>customer73@email.com</t>
  </si>
  <si>
    <t>Customer_74</t>
  </si>
  <si>
    <t>customer74@email.com</t>
  </si>
  <si>
    <t>Customer_75</t>
  </si>
  <si>
    <t>customer75@email.com</t>
  </si>
  <si>
    <t>Customer_76</t>
  </si>
  <si>
    <t>customer76@email.com</t>
  </si>
  <si>
    <t>Customer_77</t>
  </si>
  <si>
    <t>customer77@email.com</t>
  </si>
  <si>
    <t>Customer_78</t>
  </si>
  <si>
    <t>customer78@email.com</t>
  </si>
  <si>
    <t>Customer_79</t>
  </si>
  <si>
    <t>customer79@email.com</t>
  </si>
  <si>
    <t>Customer_80</t>
  </si>
  <si>
    <t>customer80@email.com</t>
  </si>
  <si>
    <t>Customer_81</t>
  </si>
  <si>
    <t>customer81@email.com</t>
  </si>
  <si>
    <t>Customer_82</t>
  </si>
  <si>
    <t>customer82@email.com</t>
  </si>
  <si>
    <t>Customer_83</t>
  </si>
  <si>
    <t>customer83@email.com</t>
  </si>
  <si>
    <t>Customer_84</t>
  </si>
  <si>
    <t>customer84@email.com</t>
  </si>
  <si>
    <t>Customer_85</t>
  </si>
  <si>
    <t>customer85@email.com</t>
  </si>
  <si>
    <t>Customer_86</t>
  </si>
  <si>
    <t>customer86@email.com</t>
  </si>
  <si>
    <t>Customer_87</t>
  </si>
  <si>
    <t>customer87@email.com</t>
  </si>
  <si>
    <t>Customer_88</t>
  </si>
  <si>
    <t>customer88@email.com</t>
  </si>
  <si>
    <t>Customer_89</t>
  </si>
  <si>
    <t>customer89@email.com</t>
  </si>
  <si>
    <t>Customer_90</t>
  </si>
  <si>
    <t>customer90@email.com</t>
  </si>
  <si>
    <t>Customer_91</t>
  </si>
  <si>
    <t>customer91@email.com</t>
  </si>
  <si>
    <t>Customer_92</t>
  </si>
  <si>
    <t>customer92@email.com</t>
  </si>
  <si>
    <t>Customer_93</t>
  </si>
  <si>
    <t>customer93@email.com</t>
  </si>
  <si>
    <t>Customer_94</t>
  </si>
  <si>
    <t>customer94@email.com</t>
  </si>
  <si>
    <t>Customer_95</t>
  </si>
  <si>
    <t>customer95@email.com</t>
  </si>
  <si>
    <t>Customer_96</t>
  </si>
  <si>
    <t>customer96@email.com</t>
  </si>
  <si>
    <t>Customer_97</t>
  </si>
  <si>
    <t>customer97@email.com</t>
  </si>
  <si>
    <t>Customer_98</t>
  </si>
  <si>
    <t>customer98@email.com</t>
  </si>
  <si>
    <t>Customer_99</t>
  </si>
  <si>
    <t>customer99@email.com</t>
  </si>
  <si>
    <t>Customer_100</t>
  </si>
  <si>
    <t>customer100@email.com</t>
  </si>
  <si>
    <t>Customer_101</t>
  </si>
  <si>
    <t>customer101@email.com</t>
  </si>
  <si>
    <t>Customer_102</t>
  </si>
  <si>
    <t>customer102@email.com</t>
  </si>
  <si>
    <t>Customer_103</t>
  </si>
  <si>
    <t>customer103@email.com</t>
  </si>
  <si>
    <t>Customer_104</t>
  </si>
  <si>
    <t>customer104@email.com</t>
  </si>
  <si>
    <t>Customer_105</t>
  </si>
  <si>
    <t>customer105@email.com</t>
  </si>
  <si>
    <t>Customer_106</t>
  </si>
  <si>
    <t>customer106@email.com</t>
  </si>
  <si>
    <t>Customer_107</t>
  </si>
  <si>
    <t>customer107@email.com</t>
  </si>
  <si>
    <t>Customer_108</t>
  </si>
  <si>
    <t>customer108@email.com</t>
  </si>
  <si>
    <t>Customer_109</t>
  </si>
  <si>
    <t>customer109@email.com</t>
  </si>
  <si>
    <t>Customer_110</t>
  </si>
  <si>
    <t>customer110@email.com</t>
  </si>
  <si>
    <t>Customer_111</t>
  </si>
  <si>
    <t>customer111@email.com</t>
  </si>
  <si>
    <t>Customer_112</t>
  </si>
  <si>
    <t>customer112@email.com</t>
  </si>
  <si>
    <t>Customer_113</t>
  </si>
  <si>
    <t>customer113@email.com</t>
  </si>
  <si>
    <t>Customer_114</t>
  </si>
  <si>
    <t>customer114@email.com</t>
  </si>
  <si>
    <t>Customer_115</t>
  </si>
  <si>
    <t>customer115@email.com</t>
  </si>
  <si>
    <t>Customer_116</t>
  </si>
  <si>
    <t>customer116@email.com</t>
  </si>
  <si>
    <t>Customer_117</t>
  </si>
  <si>
    <t>customer117@email.com</t>
  </si>
  <si>
    <t>Customer_118</t>
  </si>
  <si>
    <t>customer118@email.com</t>
  </si>
  <si>
    <t>Customer_119</t>
  </si>
  <si>
    <t>customer119@email.com</t>
  </si>
  <si>
    <t>Customer_120</t>
  </si>
  <si>
    <t>customer120@email.com</t>
  </si>
  <si>
    <t>Row Labels</t>
  </si>
  <si>
    <t>Sum of SalesAmount</t>
  </si>
  <si>
    <t>Grand Total</t>
  </si>
  <si>
    <t>January</t>
  </si>
  <si>
    <t>February</t>
  </si>
  <si>
    <t>March</t>
  </si>
  <si>
    <t>April</t>
  </si>
  <si>
    <t>May</t>
  </si>
  <si>
    <t>June</t>
  </si>
  <si>
    <t>Monday</t>
  </si>
  <si>
    <t>Tuesday</t>
  </si>
  <si>
    <t>Wednesday</t>
  </si>
  <si>
    <t>Thursday</t>
  </si>
  <si>
    <t>Friday</t>
  </si>
  <si>
    <t>Saturday</t>
  </si>
  <si>
    <t>Sunday</t>
  </si>
  <si>
    <t>Sum of Quantity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</si>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</sst>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3" x14ac:knownFonts="1">
    <font>
      <sz val="11"/>
      <color theme="1"/>
      <name val="Aptos Narrow"/>
      <family val="2"/>
      <scheme val="minor"/>
    </font>
    <font>
      <b/>
      <sz val="11"/>
      <name val="Calibri"/>
    </font>
    <font>
      <sz val="8"/>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9">
    <dxf>
      <numFmt numFmtId="0" formatCode="General"/>
    </dxf>
    <dxf>
      <numFmt numFmtId="0" formatCode="General"/>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[Ecommerce_Analysis_Dataset.xlsx]Sheet1!PivotTable1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Total Amount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s>
    <c:plotArea>
      <c:layout>
        <c:manualLayout>
          <c:layoutTarget val="inner"/>
          <c:xMode val="edge"/>
          <c:yMode val="edge"/>
          <c:x val="0.19506005271824958"/>
          <c:y val="0.16081255468066491"/>
          <c:w val="0.71012269076643797"/>
          <c:h val="0.62953920700740806"/>
        </c:manualLayout>
      </c:layout>
      <c:barChart>
        <c:barDir val="col"/>
        <c:grouping val="clustered"/>
        <c:varyColors val="0"/>
        <c:ser>
          <c:idx val="0"/>
          <c:order val="0"/>
          <c:tx>
            <c:strRef>
              <c:f>Sheet1!$B$3</c:f>
              <c:strCache>
                <c:ptCount val="1"/>
                <c:pt idx="0">
                  <c:v>Total</c:v>
                </c:pt>
              </c:strCache>
            </c:strRef>
          </c:tx>
          <c:spPr>
            <a:solidFill>
              <a:schemeClr val="tx2">
                <a:lumMod val="50000"/>
                <a:lumOff val="50000"/>
              </a:schemeClr>
            </a:solidFill>
            <a:ln>
              <a:noFill/>
            </a:ln>
            <a:effectLst/>
          </c:spPr>
          <c:invertIfNegative val="0"/>
          <c:dPt>
            <c:idx val="2"/>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A584-4828-B296-A34C71AA842C}"/>
              </c:ext>
            </c:extLst>
          </c:dPt>
          <c:cat>
            <c:strRef>
              <c:f>Sheet1!$A$4:$A$9</c:f>
              <c:strCache>
                <c:ptCount val="5"/>
                <c:pt idx="0">
                  <c:v>Beauty</c:v>
                </c:pt>
                <c:pt idx="1">
                  <c:v>Clothing</c:v>
                </c:pt>
                <c:pt idx="2">
                  <c:v>Electronics</c:v>
                </c:pt>
                <c:pt idx="3">
                  <c:v>Home</c:v>
                </c:pt>
                <c:pt idx="4">
                  <c:v>Sports</c:v>
                </c:pt>
              </c:strCache>
            </c:strRef>
          </c:cat>
          <c:val>
            <c:numRef>
              <c:f>Sheet1!$B$4:$B$9</c:f>
              <c:numCache>
                <c:formatCode>"₦"#,##0.00</c:formatCode>
                <c:ptCount val="5"/>
                <c:pt idx="0">
                  <c:v>49960.629999999976</c:v>
                </c:pt>
                <c:pt idx="1">
                  <c:v>37792.22</c:v>
                </c:pt>
                <c:pt idx="2">
                  <c:v>74267.189999999973</c:v>
                </c:pt>
                <c:pt idx="3">
                  <c:v>42451.150000000009</c:v>
                </c:pt>
                <c:pt idx="4">
                  <c:v>44843.459999999977</c:v>
                </c:pt>
              </c:numCache>
            </c:numRef>
          </c:val>
          <c:extLst>
            <c:ext xmlns:c16="http://schemas.microsoft.com/office/drawing/2014/chart" uri="{C3380CC4-5D6E-409C-BE32-E72D297353CC}">
              <c16:uniqueId val="{00000000-A584-4828-B296-A34C71AA842C}"/>
            </c:ext>
          </c:extLst>
        </c:ser>
        <c:dLbls>
          <c:showLegendKey val="0"/>
          <c:showVal val="0"/>
          <c:showCatName val="0"/>
          <c:showSerName val="0"/>
          <c:showPercent val="0"/>
          <c:showBubbleSize val="0"/>
        </c:dLbls>
        <c:gapWidth val="219"/>
        <c:overlap val="-27"/>
        <c:axId val="758848415"/>
        <c:axId val="758849375"/>
      </c:barChart>
      <c:catAx>
        <c:axId val="75884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58849375"/>
        <c:crosses val="autoZero"/>
        <c:auto val="1"/>
        <c:lblAlgn val="ctr"/>
        <c:lblOffset val="100"/>
        <c:noMultiLvlLbl val="0"/>
      </c:catAx>
      <c:valAx>
        <c:axId val="75884937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5884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[Ecommerce_Analysis_Dataset.xlsx]Sheet2!PivotTable1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Total Amount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s>
    <c:plotArea>
      <c:layout>
        <c:manualLayout>
          <c:layoutTarget val="inner"/>
          <c:xMode val="edge"/>
          <c:yMode val="edge"/>
          <c:x val="0.26923993875765528"/>
          <c:y val="0.19534617831861922"/>
          <c:w val="0.66594524642752995"/>
          <c:h val="0.63321005328879343"/>
        </c:manualLayout>
      </c:layout>
      <c:barChart>
        <c:barDir val="col"/>
        <c:grouping val="clustered"/>
        <c:varyColors val="0"/>
        <c:ser>
          <c:idx val="0"/>
          <c:order val="0"/>
          <c:tx>
            <c:strRef>
              <c:f>Sheet2!$B$3</c:f>
              <c:strCache>
                <c:ptCount val="1"/>
                <c:pt idx="0">
                  <c:v>Total</c:v>
                </c:pt>
              </c:strCache>
            </c:strRef>
          </c:tx>
          <c:spPr>
            <a:solidFill>
              <a:schemeClr val="tx2">
                <a:lumMod val="50000"/>
                <a:lumOff val="50000"/>
              </a:schemeClr>
            </a:solidFill>
            <a:ln>
              <a:noFill/>
            </a:ln>
            <a:effectLst/>
          </c:spPr>
          <c:invertIfNegative val="0"/>
          <c:dPt>
            <c:idx val="2"/>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F3F0-441E-8A3D-DA1C445D6C07}"/>
              </c:ext>
            </c:extLst>
          </c:dPt>
          <c:cat>
            <c:strRef>
              <c:f>Sheet2!$A$4:$A$8</c:f>
              <c:strCache>
                <c:ptCount val="4"/>
                <c:pt idx="0">
                  <c:v>Canada</c:v>
                </c:pt>
                <c:pt idx="1">
                  <c:v>India</c:v>
                </c:pt>
                <c:pt idx="2">
                  <c:v>United Kingdom</c:v>
                </c:pt>
                <c:pt idx="3">
                  <c:v>United States</c:v>
                </c:pt>
              </c:strCache>
            </c:strRef>
          </c:cat>
          <c:val>
            <c:numRef>
              <c:f>Sheet2!$B$4:$B$8</c:f>
              <c:numCache>
                <c:formatCode>"₦"#,##0.00</c:formatCode>
                <c:ptCount val="4"/>
                <c:pt idx="0">
                  <c:v>57774.679999999978</c:v>
                </c:pt>
                <c:pt idx="1">
                  <c:v>51405.479999999996</c:v>
                </c:pt>
                <c:pt idx="2">
                  <c:v>86879.589999999982</c:v>
                </c:pt>
                <c:pt idx="3">
                  <c:v>53254.900000000009</c:v>
                </c:pt>
              </c:numCache>
            </c:numRef>
          </c:val>
          <c:extLst>
            <c:ext xmlns:c16="http://schemas.microsoft.com/office/drawing/2014/chart" uri="{C3380CC4-5D6E-409C-BE32-E72D297353CC}">
              <c16:uniqueId val="{00000000-F3F0-441E-8A3D-DA1C445D6C07}"/>
            </c:ext>
          </c:extLst>
        </c:ser>
        <c:dLbls>
          <c:showLegendKey val="0"/>
          <c:showVal val="0"/>
          <c:showCatName val="0"/>
          <c:showSerName val="0"/>
          <c:showPercent val="0"/>
          <c:showBubbleSize val="0"/>
        </c:dLbls>
        <c:gapWidth val="219"/>
        <c:overlap val="-27"/>
        <c:axId val="75221744"/>
        <c:axId val="75222224"/>
      </c:barChart>
      <c:catAx>
        <c:axId val="75221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5222224"/>
        <c:crosses val="autoZero"/>
        <c:auto val="1"/>
        <c:lblAlgn val="ctr"/>
        <c:lblOffset val="100"/>
        <c:noMultiLvlLbl val="0"/>
      </c:catAx>
      <c:valAx>
        <c:axId val="7522222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522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[Ecommerce_Analysis_Dataset.xlsx]Sheet3!PivotTable2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Total Amount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15A3-4110-9A8B-454A973879AA}"/>
              </c:ext>
            </c:extLst>
          </c:dPt>
          <c:cat>
            <c:strRef>
              <c:f>Sheet3!$A$4:$A$10</c:f>
              <c:strCache>
                <c:ptCount val="6"/>
                <c:pt idx="0">
                  <c:v>January</c:v>
                </c:pt>
                <c:pt idx="1">
                  <c:v>February</c:v>
                </c:pt>
                <c:pt idx="2">
                  <c:v>March</c:v>
                </c:pt>
                <c:pt idx="3">
                  <c:v>April</c:v>
                </c:pt>
                <c:pt idx="4">
                  <c:v>May</c:v>
                </c:pt>
                <c:pt idx="5">
                  <c:v>June</c:v>
                </c:pt>
              </c:strCache>
            </c:strRef>
          </c:cat>
          <c:val>
            <c:numRef>
              <c:f>Sheet3!$B$4:$B$10</c:f>
              <c:numCache>
                <c:formatCode>"₦"#,##0.00</c:formatCode>
                <c:ptCount val="6"/>
                <c:pt idx="0">
                  <c:v>38121.719999999994</c:v>
                </c:pt>
                <c:pt idx="1">
                  <c:v>36272.57</c:v>
                </c:pt>
                <c:pt idx="2">
                  <c:v>52091.569999999963</c:v>
                </c:pt>
                <c:pt idx="3">
                  <c:v>37290.869999999995</c:v>
                </c:pt>
                <c:pt idx="4">
                  <c:v>33711.56</c:v>
                </c:pt>
                <c:pt idx="5">
                  <c:v>51826.359999999993</c:v>
                </c:pt>
              </c:numCache>
            </c:numRef>
          </c:val>
          <c:smooth val="0"/>
          <c:extLst>
            <c:ext xmlns:c16="http://schemas.microsoft.com/office/drawing/2014/chart" uri="{C3380CC4-5D6E-409C-BE32-E72D297353CC}">
              <c16:uniqueId val="{00000000-15A3-4110-9A8B-454A973879AA}"/>
            </c:ext>
          </c:extLst>
        </c:ser>
        <c:dLbls>
          <c:showLegendKey val="0"/>
          <c:showVal val="0"/>
          <c:showCatName val="0"/>
          <c:showSerName val="0"/>
          <c:showPercent val="0"/>
          <c:showBubbleSize val="0"/>
        </c:dLbls>
        <c:marker val="1"/>
        <c:smooth val="0"/>
        <c:axId val="153671840"/>
        <c:axId val="153673760"/>
      </c:lineChart>
      <c:catAx>
        <c:axId val="15367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3673760"/>
        <c:crosses val="autoZero"/>
        <c:auto val="1"/>
        <c:lblAlgn val="ctr"/>
        <c:lblOffset val="100"/>
        <c:noMultiLvlLbl val="0"/>
      </c:catAx>
      <c:valAx>
        <c:axId val="1536737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367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[Ecommerce_Analysis_Dataset.xlsx]Sheet4!PivotTable3</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Total Amount by Days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s>
    <c:plotArea>
      <c:layout/>
      <c:barChart>
        <c:barDir val="col"/>
        <c:grouping val="clustered"/>
        <c:varyColors val="0"/>
        <c:ser>
          <c:idx val="0"/>
          <c:order val="0"/>
          <c:tx>
            <c:strRef>
              <c:f>Sheet4!$B$3</c:f>
              <c:strCache>
                <c:ptCount val="1"/>
                <c:pt idx="0">
                  <c:v>Total</c:v>
                </c:pt>
              </c:strCache>
            </c:strRef>
          </c:tx>
          <c:spPr>
            <a:solidFill>
              <a:schemeClr val="tx2">
                <a:lumMod val="50000"/>
                <a:lumOff val="50000"/>
              </a:schemeClr>
            </a:solidFill>
            <a:ln>
              <a:noFill/>
            </a:ln>
            <a:effectLst/>
          </c:spPr>
          <c:invertIfNegative val="0"/>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383B-4260-B0CA-71B69E6AB46D}"/>
              </c:ext>
            </c:extLst>
          </c:dPt>
          <c:cat>
            <c:strRef>
              <c:f>Sheet4!$A$4:$A$11</c:f>
              <c:strCache>
                <c:ptCount val="7"/>
                <c:pt idx="0">
                  <c:v>Monday</c:v>
                </c:pt>
                <c:pt idx="1">
                  <c:v>Tuesday</c:v>
                </c:pt>
                <c:pt idx="2">
                  <c:v>Wednesday</c:v>
                </c:pt>
                <c:pt idx="3">
                  <c:v>Thursday</c:v>
                </c:pt>
                <c:pt idx="4">
                  <c:v>Friday</c:v>
                </c:pt>
                <c:pt idx="5">
                  <c:v>Saturday</c:v>
                </c:pt>
                <c:pt idx="6">
                  <c:v>Sunday</c:v>
                </c:pt>
              </c:strCache>
            </c:strRef>
          </c:cat>
          <c:val>
            <c:numRef>
              <c:f>Sheet4!$B$4:$B$11</c:f>
              <c:numCache>
                <c:formatCode>"₦"#,##0.00</c:formatCode>
                <c:ptCount val="7"/>
                <c:pt idx="0">
                  <c:v>36665.689999999995</c:v>
                </c:pt>
                <c:pt idx="1">
                  <c:v>46610.439999999988</c:v>
                </c:pt>
                <c:pt idx="2">
                  <c:v>22192.230000000007</c:v>
                </c:pt>
                <c:pt idx="3">
                  <c:v>42860.859999999993</c:v>
                </c:pt>
                <c:pt idx="4">
                  <c:v>36051.000000000007</c:v>
                </c:pt>
                <c:pt idx="5">
                  <c:v>34850.770000000004</c:v>
                </c:pt>
                <c:pt idx="6">
                  <c:v>30083.659999999985</c:v>
                </c:pt>
              </c:numCache>
            </c:numRef>
          </c:val>
          <c:extLst>
            <c:ext xmlns:c16="http://schemas.microsoft.com/office/drawing/2014/chart" uri="{C3380CC4-5D6E-409C-BE32-E72D297353CC}">
              <c16:uniqueId val="{00000000-383B-4260-B0CA-71B69E6AB46D}"/>
            </c:ext>
          </c:extLst>
        </c:ser>
        <c:dLbls>
          <c:showLegendKey val="0"/>
          <c:showVal val="0"/>
          <c:showCatName val="0"/>
          <c:showSerName val="0"/>
          <c:showPercent val="0"/>
          <c:showBubbleSize val="0"/>
        </c:dLbls>
        <c:gapWidth val="219"/>
        <c:overlap val="-27"/>
        <c:axId val="1469193264"/>
        <c:axId val="1469195664"/>
      </c:barChart>
      <c:catAx>
        <c:axId val="146919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69195664"/>
        <c:crosses val="autoZero"/>
        <c:auto val="1"/>
        <c:lblAlgn val="ctr"/>
        <c:lblOffset val="100"/>
        <c:noMultiLvlLbl val="0"/>
      </c:catAx>
      <c:valAx>
        <c:axId val="146919566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6919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[Ecommerce_Analysis_Dataset.xlsx]Sheet5!PivotTable1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Total Quantity Sold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s>
    <c:plotArea>
      <c:layout/>
      <c:barChart>
        <c:barDir val="col"/>
        <c:grouping val="clustered"/>
        <c:varyColors val="0"/>
        <c:ser>
          <c:idx val="0"/>
          <c:order val="0"/>
          <c:tx>
            <c:strRef>
              <c:f>Sheet5!$B$3</c:f>
              <c:strCache>
                <c:ptCount val="1"/>
                <c:pt idx="0">
                  <c:v>Total</c:v>
                </c:pt>
              </c:strCache>
            </c:strRef>
          </c:tx>
          <c:spPr>
            <a:solidFill>
              <a:schemeClr val="tx2">
                <a:lumMod val="50000"/>
                <a:lumOff val="50000"/>
              </a:schemeClr>
            </a:solidFill>
            <a:ln>
              <a:noFill/>
            </a:ln>
            <a:effectLst/>
          </c:spPr>
          <c:invertIfNegative val="0"/>
          <c:dPt>
            <c:idx val="2"/>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4598-42FF-9EAA-C7787F45E611}"/>
              </c:ext>
            </c:extLst>
          </c:dPt>
          <c:cat>
            <c:strRef>
              <c:f>Sheet5!$A$4:$A$9</c:f>
              <c:strCache>
                <c:ptCount val="5"/>
                <c:pt idx="0">
                  <c:v>Beauty</c:v>
                </c:pt>
                <c:pt idx="1">
                  <c:v>Clothing</c:v>
                </c:pt>
                <c:pt idx="2">
                  <c:v>Electronics</c:v>
                </c:pt>
                <c:pt idx="3">
                  <c:v>Home</c:v>
                </c:pt>
                <c:pt idx="4">
                  <c:v>Sports</c:v>
                </c:pt>
              </c:strCache>
            </c:strRef>
          </c:cat>
          <c:val>
            <c:numRef>
              <c:f>Sheet5!$B$4:$B$9</c:f>
              <c:numCache>
                <c:formatCode>General</c:formatCode>
                <c:ptCount val="5"/>
                <c:pt idx="0">
                  <c:v>185</c:v>
                </c:pt>
                <c:pt idx="1">
                  <c:v>193</c:v>
                </c:pt>
                <c:pt idx="2">
                  <c:v>288</c:v>
                </c:pt>
                <c:pt idx="3">
                  <c:v>179</c:v>
                </c:pt>
                <c:pt idx="4">
                  <c:v>235</c:v>
                </c:pt>
              </c:numCache>
            </c:numRef>
          </c:val>
          <c:extLst>
            <c:ext xmlns:c16="http://schemas.microsoft.com/office/drawing/2014/chart" uri="{C3380CC4-5D6E-409C-BE32-E72D297353CC}">
              <c16:uniqueId val="{00000000-4598-42FF-9EAA-C7787F45E611}"/>
            </c:ext>
          </c:extLst>
        </c:ser>
        <c:dLbls>
          <c:showLegendKey val="0"/>
          <c:showVal val="0"/>
          <c:showCatName val="0"/>
          <c:showSerName val="0"/>
          <c:showPercent val="0"/>
          <c:showBubbleSize val="0"/>
        </c:dLbls>
        <c:gapWidth val="219"/>
        <c:overlap val="-27"/>
        <c:axId val="1113895040"/>
        <c:axId val="1117789040"/>
      </c:barChart>
      <c:catAx>
        <c:axId val="111389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17789040"/>
        <c:crosses val="autoZero"/>
        <c:auto val="1"/>
        <c:lblAlgn val="ctr"/>
        <c:lblOffset val="100"/>
        <c:noMultiLvlLbl val="0"/>
      </c:catAx>
      <c:valAx>
        <c:axId val="1117789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1389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[Ecommerce_Analysis_Dataset.xlsx]Sheet6!PivotTable2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Total</a:t>
            </a:r>
            <a:r>
              <a:rPr lang="en-US" b="1" baseline="0">
                <a:solidFill>
                  <a:sysClr val="windowText" lastClr="000000"/>
                </a:solidFill>
                <a:latin typeface="Times New Roman" panose="02020603050405020304" pitchFamily="18" charset="0"/>
                <a:cs typeface="Times New Roman" panose="02020603050405020304" pitchFamily="18" charset="0"/>
              </a:rPr>
              <a:t> Quantity</a:t>
            </a:r>
            <a:r>
              <a:rPr lang="en-US" b="1">
                <a:solidFill>
                  <a:sysClr val="windowText" lastClr="000000"/>
                </a:solidFill>
                <a:latin typeface="Times New Roman" panose="02020603050405020304" pitchFamily="18" charset="0"/>
                <a:cs typeface="Times New Roman" panose="02020603050405020304" pitchFamily="18" charset="0"/>
              </a:rPr>
              <a:t> Sold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85000"/>
                  <a:lumOff val="15000"/>
                </a:sysClr>
              </a:solidFill>
            </a:ln>
            <a:effectLst>
              <a:outerShdw blurRad="88900" dist="38100" dir="2700000" algn="tl" rotWithShape="0">
                <a:prstClr val="black">
                  <a:alpha val="40000"/>
                </a:prstClr>
              </a:outerShdw>
              <a:softEdge rad="12700"/>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2">
              <a:lumMod val="25000"/>
              <a:lumOff val="75000"/>
            </a:schemeClr>
          </a:solidFill>
          <a:ln>
            <a:noFill/>
          </a:ln>
          <a:effectLst/>
        </c:spPr>
      </c:pivotFmt>
      <c:pivotFmt>
        <c:idx val="5"/>
        <c:spPr>
          <a:solidFill>
            <a:schemeClr val="tx2"/>
          </a:solidFill>
          <a:ln>
            <a:noFill/>
          </a:ln>
          <a:effectLst/>
        </c:spPr>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25000"/>
              <a:lumOff val="75000"/>
            </a:schemeClr>
          </a:solidFill>
          <a:ln>
            <a:noFill/>
          </a:ln>
          <a:effectLst/>
        </c:spPr>
      </c:pivotFmt>
      <c:pivotFmt>
        <c:idx val="8"/>
        <c:spPr>
          <a:solidFill>
            <a:schemeClr val="tx2"/>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5BD-4DEB-9C57-D2B09ACDD6C6}"/>
              </c:ext>
            </c:extLst>
          </c:dPt>
          <c:dPt>
            <c:idx val="1"/>
            <c:bubble3D val="0"/>
            <c:spPr>
              <a:solidFill>
                <a:schemeClr val="tx2">
                  <a:lumMod val="25000"/>
                  <a:lumOff val="75000"/>
                </a:schemeClr>
              </a:solidFill>
              <a:ln>
                <a:noFill/>
              </a:ln>
              <a:effectLst/>
            </c:spPr>
            <c:extLst>
              <c:ext xmlns:c16="http://schemas.microsoft.com/office/drawing/2014/chart" uri="{C3380CC4-5D6E-409C-BE32-E72D297353CC}">
                <c16:uniqueId val="{00000005-188D-4D13-B458-02BD28A25F4B}"/>
              </c:ext>
            </c:extLst>
          </c:dPt>
          <c:dPt>
            <c:idx val="2"/>
            <c:bubble3D val="0"/>
            <c:spPr>
              <a:solidFill>
                <a:schemeClr val="tx2"/>
              </a:solidFill>
              <a:ln>
                <a:noFill/>
              </a:ln>
              <a:effectLst/>
            </c:spPr>
            <c:extLst>
              <c:ext xmlns:c16="http://schemas.microsoft.com/office/drawing/2014/chart" uri="{C3380CC4-5D6E-409C-BE32-E72D297353CC}">
                <c16:uniqueId val="{00000006-188D-4D13-B458-02BD28A25F4B}"/>
              </c:ext>
            </c:extLst>
          </c:dPt>
          <c:dPt>
            <c:idx val="3"/>
            <c:bubble3D val="0"/>
            <c:spPr>
              <a:solidFill>
                <a:schemeClr val="accent4"/>
              </a:solidFill>
              <a:ln>
                <a:noFill/>
              </a:ln>
              <a:effectLst/>
            </c:spPr>
            <c:extLst>
              <c:ext xmlns:c16="http://schemas.microsoft.com/office/drawing/2014/chart" uri="{C3380CC4-5D6E-409C-BE32-E72D297353CC}">
                <c16:uniqueId val="{00000007-75BD-4DEB-9C57-D2B09ACDD6C6}"/>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Sheet6!$A$4:$A$8</c:f>
              <c:strCache>
                <c:ptCount val="4"/>
                <c:pt idx="0">
                  <c:v>Canada</c:v>
                </c:pt>
                <c:pt idx="1">
                  <c:v>India</c:v>
                </c:pt>
                <c:pt idx="2">
                  <c:v>United Kingdom</c:v>
                </c:pt>
                <c:pt idx="3">
                  <c:v>United States</c:v>
                </c:pt>
              </c:strCache>
            </c:strRef>
          </c:cat>
          <c:val>
            <c:numRef>
              <c:f>Sheet6!$B$4:$B$8</c:f>
              <c:numCache>
                <c:formatCode>General</c:formatCode>
                <c:ptCount val="4"/>
                <c:pt idx="0">
                  <c:v>216</c:v>
                </c:pt>
                <c:pt idx="1">
                  <c:v>213</c:v>
                </c:pt>
                <c:pt idx="2">
                  <c:v>404</c:v>
                </c:pt>
                <c:pt idx="3">
                  <c:v>247</c:v>
                </c:pt>
              </c:numCache>
            </c:numRef>
          </c:val>
          <c:extLst>
            <c:ext xmlns:c16="http://schemas.microsoft.com/office/drawing/2014/chart" uri="{C3380CC4-5D6E-409C-BE32-E72D297353CC}">
              <c16:uniqueId val="{00000000-188D-4D13-B458-02BD28A25F4B}"/>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[Ecommerce_Analysis_Dataset.xlsx]Sheet2!PivotTable1</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Total Amount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c:spPr>
      </c:pivotFmt>
    </c:pivotFmts>
    <c:plotArea>
      <c:layout>
        <c:manualLayout>
          <c:layoutTarget val="inner"/>
          <c:xMode val="edge"/>
          <c:yMode val="edge"/>
          <c:x val="0.26923993875765528"/>
          <c:y val="0.19534617831861922"/>
          <c:w val="0.66594524642752995"/>
          <c:h val="0.63321005328879343"/>
        </c:manualLayout>
      </c:layout>
      <c:barChart>
        <c:barDir val="col"/>
        <c:grouping val="clustered"/>
        <c:varyColors val="0"/>
        <c:ser>
          <c:idx val="0"/>
          <c:order val="0"/>
          <c:tx>
            <c:strRef>
              <c:f>Sheet2!$B$3</c:f>
              <c:strCache>
                <c:ptCount val="1"/>
                <c:pt idx="0">
                  <c:v>Total</c:v>
                </c:pt>
              </c:strCache>
            </c:strRef>
          </c:tx>
          <c:spPr>
            <a:solidFill>
              <a:schemeClr val="tx2">
                <a:lumMod val="50000"/>
                <a:lumOff val="50000"/>
              </a:schemeClr>
            </a:solidFill>
            <a:ln>
              <a:noFill/>
            </a:ln>
            <a:effectLst/>
          </c:spPr>
          <c:invertIfNegative val="0"/>
          <c:dPt>
            <c:idx val="2"/>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D657-48E6-8DBA-302683DCE26C}"/>
              </c:ext>
            </c:extLst>
          </c:dPt>
          <c:cat>
            <c:strRef>
              <c:f>Sheet2!$A$4:$A$8</c:f>
              <c:strCache>
                <c:ptCount val="4"/>
                <c:pt idx="0">
                  <c:v>Canada</c:v>
                </c:pt>
                <c:pt idx="1">
                  <c:v>India</c:v>
                </c:pt>
                <c:pt idx="2">
                  <c:v>United Kingdom</c:v>
                </c:pt>
                <c:pt idx="3">
                  <c:v>United States</c:v>
                </c:pt>
              </c:strCache>
            </c:strRef>
          </c:cat>
          <c:val>
            <c:numRef>
              <c:f>Sheet2!$B$4:$B$8</c:f>
              <c:numCache>
                <c:formatCode>"₦"#,##0.00</c:formatCode>
                <c:ptCount val="4"/>
                <c:pt idx="0">
                  <c:v>57774.679999999978</c:v>
                </c:pt>
                <c:pt idx="1">
                  <c:v>51405.479999999996</c:v>
                </c:pt>
                <c:pt idx="2">
                  <c:v>86879.589999999982</c:v>
                </c:pt>
                <c:pt idx="3">
                  <c:v>53254.900000000009</c:v>
                </c:pt>
              </c:numCache>
            </c:numRef>
          </c:val>
          <c:extLst>
            <c:ext xmlns:c16="http://schemas.microsoft.com/office/drawing/2014/chart" uri="{C3380CC4-5D6E-409C-BE32-E72D297353CC}">
              <c16:uniqueId val="{00000002-D657-48E6-8DBA-302683DCE26C}"/>
            </c:ext>
          </c:extLst>
        </c:ser>
        <c:dLbls>
          <c:showLegendKey val="0"/>
          <c:showVal val="0"/>
          <c:showCatName val="0"/>
          <c:showSerName val="0"/>
          <c:showPercent val="0"/>
          <c:showBubbleSize val="0"/>
        </c:dLbls>
        <c:gapWidth val="219"/>
        <c:overlap val="-27"/>
        <c:axId val="75221744"/>
        <c:axId val="75222224"/>
      </c:barChart>
      <c:catAx>
        <c:axId val="75221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5222224"/>
        <c:crosses val="autoZero"/>
        <c:auto val="1"/>
        <c:lblAlgn val="ctr"/>
        <c:lblOffset val="100"/>
        <c:noMultiLvlLbl val="0"/>
      </c:catAx>
      <c:valAx>
        <c:axId val="7522222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522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[Ecommerce_Analysis_Dataset.xlsx]Sheet3!PivotTable2</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Total Amount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2632-4F65-97A6-A2B9BADB9ADB}"/>
              </c:ext>
            </c:extLst>
          </c:dPt>
          <c:cat>
            <c:strRef>
              <c:f>Sheet3!$A$4:$A$10</c:f>
              <c:strCache>
                <c:ptCount val="6"/>
                <c:pt idx="0">
                  <c:v>January</c:v>
                </c:pt>
                <c:pt idx="1">
                  <c:v>February</c:v>
                </c:pt>
                <c:pt idx="2">
                  <c:v>March</c:v>
                </c:pt>
                <c:pt idx="3">
                  <c:v>April</c:v>
                </c:pt>
                <c:pt idx="4">
                  <c:v>May</c:v>
                </c:pt>
                <c:pt idx="5">
                  <c:v>June</c:v>
                </c:pt>
              </c:strCache>
            </c:strRef>
          </c:cat>
          <c:val>
            <c:numRef>
              <c:f>Sheet3!$B$4:$B$10</c:f>
              <c:numCache>
                <c:formatCode>"₦"#,##0.00</c:formatCode>
                <c:ptCount val="6"/>
                <c:pt idx="0">
                  <c:v>38121.719999999994</c:v>
                </c:pt>
                <c:pt idx="1">
                  <c:v>36272.57</c:v>
                </c:pt>
                <c:pt idx="2">
                  <c:v>52091.569999999963</c:v>
                </c:pt>
                <c:pt idx="3">
                  <c:v>37290.869999999995</c:v>
                </c:pt>
                <c:pt idx="4">
                  <c:v>33711.56</c:v>
                </c:pt>
                <c:pt idx="5">
                  <c:v>51826.359999999993</c:v>
                </c:pt>
              </c:numCache>
            </c:numRef>
          </c:val>
          <c:smooth val="0"/>
          <c:extLst>
            <c:ext xmlns:c16="http://schemas.microsoft.com/office/drawing/2014/chart" uri="{C3380CC4-5D6E-409C-BE32-E72D297353CC}">
              <c16:uniqueId val="{00000002-2632-4F65-97A6-A2B9BADB9ADB}"/>
            </c:ext>
          </c:extLst>
        </c:ser>
        <c:dLbls>
          <c:showLegendKey val="0"/>
          <c:showVal val="0"/>
          <c:showCatName val="0"/>
          <c:showSerName val="0"/>
          <c:showPercent val="0"/>
          <c:showBubbleSize val="0"/>
        </c:dLbls>
        <c:marker val="1"/>
        <c:smooth val="0"/>
        <c:axId val="153671840"/>
        <c:axId val="153673760"/>
      </c:lineChart>
      <c:catAx>
        <c:axId val="15367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3673760"/>
        <c:crosses val="autoZero"/>
        <c:auto val="1"/>
        <c:lblAlgn val="ctr"/>
        <c:lblOffset val="100"/>
        <c:noMultiLvlLbl val="0"/>
      </c:catAx>
      <c:valAx>
        <c:axId val="1536737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367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[Ecommerce_Analysis_Dataset.xlsx]Sheet4!PivotTable3</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Total Amount by Days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c:spPr>
      </c:pivotFmt>
    </c:pivotFmts>
    <c:plotArea>
      <c:layout/>
      <c:barChart>
        <c:barDir val="col"/>
        <c:grouping val="clustered"/>
        <c:varyColors val="0"/>
        <c:ser>
          <c:idx val="0"/>
          <c:order val="0"/>
          <c:tx>
            <c:strRef>
              <c:f>Sheet4!$B$3</c:f>
              <c:strCache>
                <c:ptCount val="1"/>
                <c:pt idx="0">
                  <c:v>Total</c:v>
                </c:pt>
              </c:strCache>
            </c:strRef>
          </c:tx>
          <c:spPr>
            <a:solidFill>
              <a:schemeClr val="tx2">
                <a:lumMod val="50000"/>
                <a:lumOff val="50000"/>
              </a:schemeClr>
            </a:solidFill>
            <a:ln>
              <a:noFill/>
            </a:ln>
            <a:effectLst/>
          </c:spPr>
          <c:invertIfNegative val="0"/>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9BF5-44D3-8D4B-73954529DA64}"/>
              </c:ext>
            </c:extLst>
          </c:dPt>
          <c:cat>
            <c:strRef>
              <c:f>Sheet4!$A$4:$A$11</c:f>
              <c:strCache>
                <c:ptCount val="7"/>
                <c:pt idx="0">
                  <c:v>Monday</c:v>
                </c:pt>
                <c:pt idx="1">
                  <c:v>Tuesday</c:v>
                </c:pt>
                <c:pt idx="2">
                  <c:v>Wednesday</c:v>
                </c:pt>
                <c:pt idx="3">
                  <c:v>Thursday</c:v>
                </c:pt>
                <c:pt idx="4">
                  <c:v>Friday</c:v>
                </c:pt>
                <c:pt idx="5">
                  <c:v>Saturday</c:v>
                </c:pt>
                <c:pt idx="6">
                  <c:v>Sunday</c:v>
                </c:pt>
              </c:strCache>
            </c:strRef>
          </c:cat>
          <c:val>
            <c:numRef>
              <c:f>Sheet4!$B$4:$B$11</c:f>
              <c:numCache>
                <c:formatCode>"₦"#,##0.00</c:formatCode>
                <c:ptCount val="7"/>
                <c:pt idx="0">
                  <c:v>36665.689999999995</c:v>
                </c:pt>
                <c:pt idx="1">
                  <c:v>46610.439999999988</c:v>
                </c:pt>
                <c:pt idx="2">
                  <c:v>22192.230000000007</c:v>
                </c:pt>
                <c:pt idx="3">
                  <c:v>42860.859999999993</c:v>
                </c:pt>
                <c:pt idx="4">
                  <c:v>36051.000000000007</c:v>
                </c:pt>
                <c:pt idx="5">
                  <c:v>34850.770000000004</c:v>
                </c:pt>
                <c:pt idx="6">
                  <c:v>30083.659999999985</c:v>
                </c:pt>
              </c:numCache>
            </c:numRef>
          </c:val>
          <c:extLst>
            <c:ext xmlns:c16="http://schemas.microsoft.com/office/drawing/2014/chart" uri="{C3380CC4-5D6E-409C-BE32-E72D297353CC}">
              <c16:uniqueId val="{00000002-9BF5-44D3-8D4B-73954529DA64}"/>
            </c:ext>
          </c:extLst>
        </c:ser>
        <c:dLbls>
          <c:showLegendKey val="0"/>
          <c:showVal val="0"/>
          <c:showCatName val="0"/>
          <c:showSerName val="0"/>
          <c:showPercent val="0"/>
          <c:showBubbleSize val="0"/>
        </c:dLbls>
        <c:gapWidth val="219"/>
        <c:overlap val="-27"/>
        <c:axId val="1469193264"/>
        <c:axId val="1469195664"/>
      </c:barChart>
      <c:catAx>
        <c:axId val="146919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69195664"/>
        <c:crosses val="autoZero"/>
        <c:auto val="1"/>
        <c:lblAlgn val="ctr"/>
        <c:lblOffset val="100"/>
        <c:noMultiLvlLbl val="0"/>
      </c:catAx>
      <c:valAx>
        <c:axId val="146919566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6919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[Ecommerce_Analysis_Dataset.xlsx]Sheet5!PivotTable1</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Total Quantity Sold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c:spPr>
      </c:pivotFmt>
    </c:pivotFmts>
    <c:plotArea>
      <c:layout/>
      <c:barChart>
        <c:barDir val="col"/>
        <c:grouping val="clustered"/>
        <c:varyColors val="0"/>
        <c:ser>
          <c:idx val="0"/>
          <c:order val="0"/>
          <c:tx>
            <c:strRef>
              <c:f>Sheet5!$B$3</c:f>
              <c:strCache>
                <c:ptCount val="1"/>
                <c:pt idx="0">
                  <c:v>Total</c:v>
                </c:pt>
              </c:strCache>
            </c:strRef>
          </c:tx>
          <c:spPr>
            <a:solidFill>
              <a:schemeClr val="tx2">
                <a:lumMod val="50000"/>
                <a:lumOff val="50000"/>
              </a:schemeClr>
            </a:solidFill>
            <a:ln>
              <a:noFill/>
            </a:ln>
            <a:effectLst/>
          </c:spPr>
          <c:invertIfNegative val="0"/>
          <c:dPt>
            <c:idx val="2"/>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2615-4F07-BED8-A87BC79C585C}"/>
              </c:ext>
            </c:extLst>
          </c:dPt>
          <c:cat>
            <c:strRef>
              <c:f>Sheet5!$A$4:$A$9</c:f>
              <c:strCache>
                <c:ptCount val="5"/>
                <c:pt idx="0">
                  <c:v>Beauty</c:v>
                </c:pt>
                <c:pt idx="1">
                  <c:v>Clothing</c:v>
                </c:pt>
                <c:pt idx="2">
                  <c:v>Electronics</c:v>
                </c:pt>
                <c:pt idx="3">
                  <c:v>Home</c:v>
                </c:pt>
                <c:pt idx="4">
                  <c:v>Sports</c:v>
                </c:pt>
              </c:strCache>
            </c:strRef>
          </c:cat>
          <c:val>
            <c:numRef>
              <c:f>Sheet5!$B$4:$B$9</c:f>
              <c:numCache>
                <c:formatCode>General</c:formatCode>
                <c:ptCount val="5"/>
                <c:pt idx="0">
                  <c:v>185</c:v>
                </c:pt>
                <c:pt idx="1">
                  <c:v>193</c:v>
                </c:pt>
                <c:pt idx="2">
                  <c:v>288</c:v>
                </c:pt>
                <c:pt idx="3">
                  <c:v>179</c:v>
                </c:pt>
                <c:pt idx="4">
                  <c:v>235</c:v>
                </c:pt>
              </c:numCache>
            </c:numRef>
          </c:val>
          <c:extLst>
            <c:ext xmlns:c16="http://schemas.microsoft.com/office/drawing/2014/chart" uri="{C3380CC4-5D6E-409C-BE32-E72D297353CC}">
              <c16:uniqueId val="{00000002-2615-4F07-BED8-A87BC79C585C}"/>
            </c:ext>
          </c:extLst>
        </c:ser>
        <c:dLbls>
          <c:showLegendKey val="0"/>
          <c:showVal val="0"/>
          <c:showCatName val="0"/>
          <c:showSerName val="0"/>
          <c:showPercent val="0"/>
          <c:showBubbleSize val="0"/>
        </c:dLbls>
        <c:gapWidth val="219"/>
        <c:overlap val="-27"/>
        <c:axId val="1113895040"/>
        <c:axId val="1117789040"/>
      </c:barChart>
      <c:catAx>
        <c:axId val="111389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17789040"/>
        <c:crosses val="autoZero"/>
        <c:auto val="1"/>
        <c:lblAlgn val="ctr"/>
        <c:lblOffset val="100"/>
        <c:noMultiLvlLbl val="0"/>
      </c:catAx>
      <c:valAx>
        <c:axId val="1117789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1389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[Ecommerce_Analysis_Dataset.xlsx]Sheet6!PivotTable2</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Total</a:t>
            </a:r>
            <a:r>
              <a:rPr lang="en-US" b="1" baseline="0">
                <a:solidFill>
                  <a:sysClr val="windowText" lastClr="000000"/>
                </a:solidFill>
                <a:latin typeface="Times New Roman" panose="02020603050405020304" pitchFamily="18" charset="0"/>
                <a:cs typeface="Times New Roman" panose="02020603050405020304" pitchFamily="18" charset="0"/>
              </a:rPr>
              <a:t> Quantity</a:t>
            </a:r>
            <a:r>
              <a:rPr lang="en-US" b="1">
                <a:solidFill>
                  <a:sysClr val="windowText" lastClr="000000"/>
                </a:solidFill>
                <a:latin typeface="Times New Roman" panose="02020603050405020304" pitchFamily="18" charset="0"/>
                <a:cs typeface="Times New Roman" panose="02020603050405020304" pitchFamily="18" charset="0"/>
              </a:rPr>
              <a:t> Sold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85000"/>
                  <a:lumOff val="15000"/>
                </a:sysClr>
              </a:solidFill>
            </a:ln>
            <a:effectLst>
              <a:outerShdw blurRad="88900" dist="38100" dir="2700000" algn="tl" rotWithShape="0">
                <a:prstClr val="black">
                  <a:alpha val="40000"/>
                </a:prstClr>
              </a:outerShdw>
              <a:softEdge rad="12700"/>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2">
              <a:lumMod val="25000"/>
              <a:lumOff val="75000"/>
            </a:schemeClr>
          </a:solidFill>
          <a:ln>
            <a:noFill/>
          </a:ln>
          <a:effectLst/>
        </c:spPr>
      </c:pivotFmt>
      <c:pivotFmt>
        <c:idx val="5"/>
        <c:spPr>
          <a:solidFill>
            <a:schemeClr val="tx2"/>
          </a:solidFill>
          <a:ln>
            <a:noFill/>
          </a:ln>
          <a:effectLst/>
        </c:spPr>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25000"/>
              <a:lumOff val="75000"/>
            </a:schemeClr>
          </a:solidFill>
          <a:ln>
            <a:noFill/>
          </a:ln>
          <a:effectLst/>
        </c:spPr>
      </c:pivotFmt>
      <c:pivotFmt>
        <c:idx val="8"/>
        <c:spPr>
          <a:solidFill>
            <a:schemeClr val="tx2"/>
          </a:solidFill>
          <a:ln>
            <a:noFill/>
          </a:ln>
          <a:effectLst/>
        </c:spPr>
      </c:pivotFmt>
      <c:pivotFmt>
        <c:idx val="9"/>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a:noFill/>
          </a:ln>
          <a:effectLst/>
        </c:spPr>
      </c:pivotFmt>
      <c:pivotFmt>
        <c:idx val="11"/>
        <c:spPr>
          <a:solidFill>
            <a:schemeClr val="tx2">
              <a:lumMod val="25000"/>
              <a:lumOff val="75000"/>
            </a:schemeClr>
          </a:solidFill>
          <a:ln>
            <a:noFill/>
          </a:ln>
          <a:effectLst/>
        </c:spPr>
      </c:pivotFmt>
      <c:pivotFmt>
        <c:idx val="12"/>
        <c:spPr>
          <a:solidFill>
            <a:schemeClr val="tx2"/>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a:outerShdw blurRad="50800" dist="38100" dir="2700000" algn="tl" rotWithShape="0">
                <a:prstClr val="black">
                  <a:alpha val="40000"/>
                </a:prstClr>
              </a:outerShdw>
              <a:softEdge rad="12700"/>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solidFill>
          <a:ln>
            <a:noFill/>
          </a:ln>
          <a:effectLst/>
        </c:spPr>
      </c:pivotFmt>
      <c:pivotFmt>
        <c:idx val="16"/>
        <c:spPr>
          <a:solidFill>
            <a:schemeClr val="tx2">
              <a:lumMod val="25000"/>
              <a:lumOff val="75000"/>
            </a:schemeClr>
          </a:solidFill>
          <a:ln>
            <a:noFill/>
          </a:ln>
          <a:effectLst/>
        </c:spPr>
      </c:pivotFmt>
      <c:pivotFmt>
        <c:idx val="17"/>
        <c:spPr>
          <a:solidFill>
            <a:schemeClr val="tx2"/>
          </a:solidFill>
          <a:ln>
            <a:noFill/>
          </a:ln>
          <a:effectLst/>
        </c:spPr>
      </c:pivotFmt>
      <c:pivotFmt>
        <c:idx val="18"/>
        <c:spPr>
          <a:solidFill>
            <a:schemeClr val="accent1"/>
          </a:solidFill>
          <a:ln>
            <a:no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C46-4215-9A4C-DF23E4CB2B94}"/>
              </c:ext>
            </c:extLst>
          </c:dPt>
          <c:dPt>
            <c:idx val="1"/>
            <c:bubble3D val="0"/>
            <c:spPr>
              <a:solidFill>
                <a:schemeClr val="tx2">
                  <a:lumMod val="25000"/>
                  <a:lumOff val="75000"/>
                </a:schemeClr>
              </a:solidFill>
              <a:ln>
                <a:noFill/>
              </a:ln>
              <a:effectLst/>
            </c:spPr>
            <c:extLst>
              <c:ext xmlns:c16="http://schemas.microsoft.com/office/drawing/2014/chart" uri="{C3380CC4-5D6E-409C-BE32-E72D297353CC}">
                <c16:uniqueId val="{00000003-FC46-4215-9A4C-DF23E4CB2B94}"/>
              </c:ext>
            </c:extLst>
          </c:dPt>
          <c:dPt>
            <c:idx val="2"/>
            <c:bubble3D val="0"/>
            <c:spPr>
              <a:solidFill>
                <a:schemeClr val="tx2"/>
              </a:solidFill>
              <a:ln>
                <a:noFill/>
              </a:ln>
              <a:effectLst/>
            </c:spPr>
            <c:extLst>
              <c:ext xmlns:c16="http://schemas.microsoft.com/office/drawing/2014/chart" uri="{C3380CC4-5D6E-409C-BE32-E72D297353CC}">
                <c16:uniqueId val="{00000005-FC46-4215-9A4C-DF23E4CB2B94}"/>
              </c:ext>
            </c:extLst>
          </c:dPt>
          <c:dPt>
            <c:idx val="3"/>
            <c:bubble3D val="0"/>
            <c:spPr>
              <a:solidFill>
                <a:schemeClr val="accent4"/>
              </a:solidFill>
              <a:ln>
                <a:noFill/>
              </a:ln>
              <a:effectLst/>
            </c:spPr>
            <c:extLst>
              <c:ext xmlns:c16="http://schemas.microsoft.com/office/drawing/2014/chart" uri="{C3380CC4-5D6E-409C-BE32-E72D297353CC}">
                <c16:uniqueId val="{00000007-FC46-4215-9A4C-DF23E4CB2B94}"/>
              </c:ext>
            </c:extLst>
          </c:dPt>
          <c:dLbls>
            <c:spPr>
              <a:noFill/>
              <a:ln>
                <a:noFill/>
              </a:ln>
              <a:effectLst>
                <a:outerShdw blurRad="50800" dist="38100" dir="2700000" algn="tl" rotWithShape="0">
                  <a:prstClr val="black">
                    <a:alpha val="40000"/>
                  </a:prstClr>
                </a:outerShdw>
                <a:softEdge rad="12700"/>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Sheet6!$A$4:$A$8</c:f>
              <c:strCache>
                <c:ptCount val="4"/>
                <c:pt idx="0">
                  <c:v>Canada</c:v>
                </c:pt>
                <c:pt idx="1">
                  <c:v>India</c:v>
                </c:pt>
                <c:pt idx="2">
                  <c:v>United Kingdom</c:v>
                </c:pt>
                <c:pt idx="3">
                  <c:v>United States</c:v>
                </c:pt>
              </c:strCache>
            </c:strRef>
          </c:cat>
          <c:val>
            <c:numRef>
              <c:f>Sheet6!$B$4:$B$8</c:f>
              <c:numCache>
                <c:formatCode>General</c:formatCode>
                <c:ptCount val="4"/>
                <c:pt idx="0">
                  <c:v>216</c:v>
                </c:pt>
                <c:pt idx="1">
                  <c:v>213</c:v>
                </c:pt>
                <c:pt idx="2">
                  <c:v>404</c:v>
                </c:pt>
                <c:pt idx="3">
                  <c:v>247</c:v>
                </c:pt>
              </c:numCache>
            </c:numRef>
          </c:val>
          <c:extLst>
            <c:ext xmlns:c16="http://schemas.microsoft.com/office/drawing/2014/chart" uri="{C3380CC4-5D6E-409C-BE32-E72D297353CC}">
              <c16:uniqueId val="{00000008-FC46-4215-9A4C-DF23E4CB2B94}"/>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451223404405555"/>
          <c:y val="0.61653923658447618"/>
          <c:w val="0.33694249166085305"/>
          <c:h val="0.2612656467637197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[Ecommerce_Analysis_Dataset.xlsx]Sheet1!PivotTable1</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Total Amount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c:spPr>
      </c:pivotFmt>
    </c:pivotFmts>
    <c:plotArea>
      <c:layout>
        <c:manualLayout>
          <c:layoutTarget val="inner"/>
          <c:xMode val="edge"/>
          <c:yMode val="edge"/>
          <c:x val="0.19506005271824958"/>
          <c:y val="0.16081255468066491"/>
          <c:w val="0.71012269076643797"/>
          <c:h val="0.62953920700740806"/>
        </c:manualLayout>
      </c:layout>
      <c:barChart>
        <c:barDir val="col"/>
        <c:grouping val="clustered"/>
        <c:varyColors val="0"/>
        <c:ser>
          <c:idx val="0"/>
          <c:order val="0"/>
          <c:tx>
            <c:strRef>
              <c:f>Sheet1!$B$3</c:f>
              <c:strCache>
                <c:ptCount val="1"/>
                <c:pt idx="0">
                  <c:v>Total</c:v>
                </c:pt>
              </c:strCache>
            </c:strRef>
          </c:tx>
          <c:spPr>
            <a:solidFill>
              <a:schemeClr val="tx2">
                <a:lumMod val="50000"/>
                <a:lumOff val="50000"/>
              </a:schemeClr>
            </a:solidFill>
            <a:ln>
              <a:noFill/>
            </a:ln>
            <a:effectLst/>
          </c:spPr>
          <c:invertIfNegative val="0"/>
          <c:dPt>
            <c:idx val="2"/>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AFC9-4FA8-9749-7000AFE6F485}"/>
              </c:ext>
            </c:extLst>
          </c:dPt>
          <c:cat>
            <c:strRef>
              <c:f>Sheet1!$A$4:$A$9</c:f>
              <c:strCache>
                <c:ptCount val="5"/>
                <c:pt idx="0">
                  <c:v>Beauty</c:v>
                </c:pt>
                <c:pt idx="1">
                  <c:v>Clothing</c:v>
                </c:pt>
                <c:pt idx="2">
                  <c:v>Electronics</c:v>
                </c:pt>
                <c:pt idx="3">
                  <c:v>Home</c:v>
                </c:pt>
                <c:pt idx="4">
                  <c:v>Sports</c:v>
                </c:pt>
              </c:strCache>
            </c:strRef>
          </c:cat>
          <c:val>
            <c:numRef>
              <c:f>Sheet1!$B$4:$B$9</c:f>
              <c:numCache>
                <c:formatCode>"₦"#,##0.00</c:formatCode>
                <c:ptCount val="5"/>
                <c:pt idx="0">
                  <c:v>49960.629999999976</c:v>
                </c:pt>
                <c:pt idx="1">
                  <c:v>37792.22</c:v>
                </c:pt>
                <c:pt idx="2">
                  <c:v>74267.189999999973</c:v>
                </c:pt>
                <c:pt idx="3">
                  <c:v>42451.150000000009</c:v>
                </c:pt>
                <c:pt idx="4">
                  <c:v>44843.459999999977</c:v>
                </c:pt>
              </c:numCache>
            </c:numRef>
          </c:val>
          <c:extLst>
            <c:ext xmlns:c16="http://schemas.microsoft.com/office/drawing/2014/chart" uri="{C3380CC4-5D6E-409C-BE32-E72D297353CC}">
              <c16:uniqueId val="{00000002-AFC9-4FA8-9749-7000AFE6F485}"/>
            </c:ext>
          </c:extLst>
        </c:ser>
        <c:dLbls>
          <c:showLegendKey val="0"/>
          <c:showVal val="0"/>
          <c:showCatName val="0"/>
          <c:showSerName val="0"/>
          <c:showPercent val="0"/>
          <c:showBubbleSize val="0"/>
        </c:dLbls>
        <c:gapWidth val="219"/>
        <c:overlap val="-27"/>
        <c:axId val="758848415"/>
        <c:axId val="758849375"/>
      </c:barChart>
      <c:catAx>
        <c:axId val="75884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58849375"/>
        <c:crosses val="autoZero"/>
        <c:auto val="1"/>
        <c:lblAlgn val="ctr"/>
        <c:lblOffset val="100"/>
        <c:noMultiLvlLbl val="0"/>
      </c:catAx>
      <c:valAx>
        <c:axId val="75884937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5884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838200</xdr:colOff>
      <xdr:row>11</xdr:row>
      <xdr:rowOff>152400</xdr:rowOff>
    </xdr:from>
    <xdr:to>
      <xdr:col>5</xdr:col>
      <xdr:colOff>480060</xdr:colOff>
      <xdr:row>24</xdr:row>
      <xdr:rowOff>68580</xdr:rowOff>
    </xdr:to>
    <xdr:graphicFrame macro="">
      <xdr:nvGraphicFramePr>
        <xdr:cNvPr id="2" name="Chart 1">
          <a:extLst>
            <a:ext uri="{FF2B5EF4-FFF2-40B4-BE49-F238E27FC236}">
              <a16:creationId xmlns:a16="http://schemas.microsoft.com/office/drawing/2014/main" id="{D70E02E6-1036-17AF-C994-5F3C4458E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137160</xdr:colOff>
      <xdr:row>8</xdr:row>
      <xdr:rowOff>160020</xdr:rowOff>
    </xdr:from>
    <xdr:to>
      <xdr:col>5</xdr:col>
      <xdr:colOff>0</xdr:colOff>
      <xdr:row>19</xdr:row>
      <xdr:rowOff>160020</xdr:rowOff>
    </xdr:to>
    <xdr:graphicFrame macro="">
      <xdr:nvGraphicFramePr>
        <xdr:cNvPr id="2" name="Chart 1">
          <a:extLst>
            <a:ext uri="{FF2B5EF4-FFF2-40B4-BE49-F238E27FC236}">
              <a16:creationId xmlns:a16="http://schemas.microsoft.com/office/drawing/2014/main" id="{5B871D47-A9B9-A337-E3A5-C1F4E3E5E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518160</xdr:colOff>
      <xdr:row>11</xdr:row>
      <xdr:rowOff>91440</xdr:rowOff>
    </xdr:from>
    <xdr:to>
      <xdr:col>4</xdr:col>
      <xdr:colOff>419100</xdr:colOff>
      <xdr:row>23</xdr:row>
      <xdr:rowOff>3810</xdr:rowOff>
    </xdr:to>
    <xdr:graphicFrame macro="">
      <xdr:nvGraphicFramePr>
        <xdr:cNvPr id="2" name="Chart 1">
          <a:extLst>
            <a:ext uri="{FF2B5EF4-FFF2-40B4-BE49-F238E27FC236}">
              <a16:creationId xmlns:a16="http://schemas.microsoft.com/office/drawing/2014/main" id="{8E331AD5-AD75-DC86-6D57-DA6ECCF70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830580</xdr:colOff>
      <xdr:row>11</xdr:row>
      <xdr:rowOff>121920</xdr:rowOff>
    </xdr:from>
    <xdr:to>
      <xdr:col>4</xdr:col>
      <xdr:colOff>365760</xdr:colOff>
      <xdr:row>23</xdr:row>
      <xdr:rowOff>3810</xdr:rowOff>
    </xdr:to>
    <xdr:graphicFrame macro="">
      <xdr:nvGraphicFramePr>
        <xdr:cNvPr id="2" name="Chart 1">
          <a:extLst>
            <a:ext uri="{FF2B5EF4-FFF2-40B4-BE49-F238E27FC236}">
              <a16:creationId xmlns:a16="http://schemas.microsoft.com/office/drawing/2014/main" id="{85428A22-36AC-39EF-F848-9C2F37963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297180</xdr:colOff>
      <xdr:row>12</xdr:row>
      <xdr:rowOff>121920</xdr:rowOff>
    </xdr:from>
    <xdr:to>
      <xdr:col>4</xdr:col>
      <xdr:colOff>487680</xdr:colOff>
      <xdr:row>25</xdr:row>
      <xdr:rowOff>0</xdr:rowOff>
    </xdr:to>
    <xdr:graphicFrame macro="">
      <xdr:nvGraphicFramePr>
        <xdr:cNvPr id="2" name="Chart 1">
          <a:extLst>
            <a:ext uri="{FF2B5EF4-FFF2-40B4-BE49-F238E27FC236}">
              <a16:creationId xmlns:a16="http://schemas.microsoft.com/office/drawing/2014/main" id="{5C01725B-26FA-3CF9-0271-C4D2CF78E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194310</xdr:colOff>
      <xdr:row>11</xdr:row>
      <xdr:rowOff>167640</xdr:rowOff>
    </xdr:from>
    <xdr:to>
      <xdr:col>4</xdr:col>
      <xdr:colOff>76200</xdr:colOff>
      <xdr:row>23</xdr:row>
      <xdr:rowOff>3810</xdr:rowOff>
    </xdr:to>
    <xdr:graphicFrame macro="">
      <xdr:nvGraphicFramePr>
        <xdr:cNvPr id="2" name="Chart 1">
          <a:extLst>
            <a:ext uri="{FF2B5EF4-FFF2-40B4-BE49-F238E27FC236}">
              <a16:creationId xmlns:a16="http://schemas.microsoft.com/office/drawing/2014/main" id="{A144B5EA-8B5B-A556-72D6-2209B018F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83819</xdr:colOff>
      <xdr:row>0</xdr:row>
      <xdr:rowOff>45720</xdr:rowOff>
    </xdr:from>
    <xdr:to>
      <xdr:col>10</xdr:col>
      <xdr:colOff>161924</xdr:colOff>
      <xdr:row>2</xdr:row>
      <xdr:rowOff>83820</xdr:rowOff>
    </xdr:to>
    <xdr:sp macro="" textlink="">
      <xdr:nvSpPr>
        <xdr:cNvPr id="2" name="TextBox 1">
          <a:extLst>
            <a:ext uri="{FF2B5EF4-FFF2-40B4-BE49-F238E27FC236}">
              <a16:creationId xmlns:a16="http://schemas.microsoft.com/office/drawing/2014/main" id="{27930536-1AA0-00F6-B63A-BC2EF2D8EAFA}"/>
            </a:ext>
          </a:extLst>
        </xdr:cNvPr>
        <xdr:cNvSpPr txBox="1"/>
      </xdr:nvSpPr>
      <xdr:spPr>
        <a:xfrm>
          <a:off x="2509778" y="45720"/>
          <a:ext cx="3717044" cy="411324"/>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a:latin typeface="Times New Roman" panose="02020603050405020304" pitchFamily="18" charset="0"/>
              <a:cs typeface="Times New Roman" panose="02020603050405020304" pitchFamily="18" charset="0"/>
            </a:rPr>
            <a:t>SALES REVIEW ANALYSIS</a:t>
          </a:r>
        </a:p>
      </xdr:txBody>
    </xdr:sp>
    <xdr:clientData/>
  </xdr:twoCellAnchor>
  <xdr:twoCellAnchor>
    <xdr:from>
      <xdr:col>0</xdr:col>
      <xdr:colOff>38099</xdr:colOff>
      <xdr:row>3</xdr:row>
      <xdr:rowOff>95249</xdr:rowOff>
    </xdr:from>
    <xdr:to>
      <xdr:col>4</xdr:col>
      <xdr:colOff>504824</xdr:colOff>
      <xdr:row>15</xdr:row>
      <xdr:rowOff>85724</xdr:rowOff>
    </xdr:to>
    <xdr:sp macro="" textlink="">
      <xdr:nvSpPr>
        <xdr:cNvPr id="5" name="Rectangle: Rounded Corners 4">
          <a:extLst>
            <a:ext uri="{FF2B5EF4-FFF2-40B4-BE49-F238E27FC236}">
              <a16:creationId xmlns:a16="http://schemas.microsoft.com/office/drawing/2014/main" id="{1DFB269A-0771-417D-9ED5-F4CAD3B8E69A}"/>
            </a:ext>
          </a:extLst>
        </xdr:cNvPr>
        <xdr:cNvSpPr/>
      </xdr:nvSpPr>
      <xdr:spPr>
        <a:xfrm>
          <a:off x="38099" y="655966"/>
          <a:ext cx="2882121" cy="2233343"/>
        </a:xfrm>
        <a:prstGeom prst="roundRect">
          <a:avLst>
            <a:gd name="adj" fmla="val 4752"/>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538162</xdr:colOff>
      <xdr:row>3</xdr:row>
      <xdr:rowOff>95249</xdr:rowOff>
    </xdr:from>
    <xdr:to>
      <xdr:col>9</xdr:col>
      <xdr:colOff>395287</xdr:colOff>
      <xdr:row>15</xdr:row>
      <xdr:rowOff>85724</xdr:rowOff>
    </xdr:to>
    <xdr:sp macro="" textlink="">
      <xdr:nvSpPr>
        <xdr:cNvPr id="10" name="Rectangle: Rounded Corners 9">
          <a:extLst>
            <a:ext uri="{FF2B5EF4-FFF2-40B4-BE49-F238E27FC236}">
              <a16:creationId xmlns:a16="http://schemas.microsoft.com/office/drawing/2014/main" id="{40EBDC61-7B7D-4E25-B4DA-352F5B73398C}"/>
            </a:ext>
          </a:extLst>
        </xdr:cNvPr>
        <xdr:cNvSpPr/>
      </xdr:nvSpPr>
      <xdr:spPr>
        <a:xfrm>
          <a:off x="2976562" y="638174"/>
          <a:ext cx="2905125" cy="2162175"/>
        </a:xfrm>
        <a:prstGeom prst="roundRect">
          <a:avLst>
            <a:gd name="adj" fmla="val 4752"/>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438149</xdr:colOff>
      <xdr:row>3</xdr:row>
      <xdr:rowOff>95249</xdr:rowOff>
    </xdr:from>
    <xdr:to>
      <xdr:col>14</xdr:col>
      <xdr:colOff>295274</xdr:colOff>
      <xdr:row>15</xdr:row>
      <xdr:rowOff>85724</xdr:rowOff>
    </xdr:to>
    <xdr:sp macro="" textlink="">
      <xdr:nvSpPr>
        <xdr:cNvPr id="11" name="Rectangle: Rounded Corners 10">
          <a:extLst>
            <a:ext uri="{FF2B5EF4-FFF2-40B4-BE49-F238E27FC236}">
              <a16:creationId xmlns:a16="http://schemas.microsoft.com/office/drawing/2014/main" id="{BAAF4EC9-5C82-49B6-BB03-5E5234F516FC}"/>
            </a:ext>
          </a:extLst>
        </xdr:cNvPr>
        <xdr:cNvSpPr/>
      </xdr:nvSpPr>
      <xdr:spPr>
        <a:xfrm>
          <a:off x="5924549" y="638174"/>
          <a:ext cx="2905125" cy="2162175"/>
        </a:xfrm>
        <a:prstGeom prst="roundRect">
          <a:avLst>
            <a:gd name="adj" fmla="val 4752"/>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438149</xdr:colOff>
      <xdr:row>15</xdr:row>
      <xdr:rowOff>133349</xdr:rowOff>
    </xdr:from>
    <xdr:to>
      <xdr:col>14</xdr:col>
      <xdr:colOff>295274</xdr:colOff>
      <xdr:row>27</xdr:row>
      <xdr:rowOff>123824</xdr:rowOff>
    </xdr:to>
    <xdr:sp macro="" textlink="">
      <xdr:nvSpPr>
        <xdr:cNvPr id="12" name="Rectangle: Rounded Corners 11">
          <a:extLst>
            <a:ext uri="{FF2B5EF4-FFF2-40B4-BE49-F238E27FC236}">
              <a16:creationId xmlns:a16="http://schemas.microsoft.com/office/drawing/2014/main" id="{794E0EBB-8003-45DA-88B5-EAF3F78CF702}"/>
            </a:ext>
          </a:extLst>
        </xdr:cNvPr>
        <xdr:cNvSpPr/>
      </xdr:nvSpPr>
      <xdr:spPr>
        <a:xfrm>
          <a:off x="5924549" y="2847974"/>
          <a:ext cx="2905125" cy="2162175"/>
        </a:xfrm>
        <a:prstGeom prst="roundRect">
          <a:avLst>
            <a:gd name="adj" fmla="val 4752"/>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538162</xdr:colOff>
      <xdr:row>15</xdr:row>
      <xdr:rowOff>133349</xdr:rowOff>
    </xdr:from>
    <xdr:to>
      <xdr:col>9</xdr:col>
      <xdr:colOff>395287</xdr:colOff>
      <xdr:row>27</xdr:row>
      <xdr:rowOff>123824</xdr:rowOff>
    </xdr:to>
    <xdr:sp macro="" textlink="">
      <xdr:nvSpPr>
        <xdr:cNvPr id="13" name="Rectangle: Rounded Corners 12">
          <a:extLst>
            <a:ext uri="{FF2B5EF4-FFF2-40B4-BE49-F238E27FC236}">
              <a16:creationId xmlns:a16="http://schemas.microsoft.com/office/drawing/2014/main" id="{20894232-D0DA-4E6F-9D61-0F7B05F7951C}"/>
            </a:ext>
          </a:extLst>
        </xdr:cNvPr>
        <xdr:cNvSpPr/>
      </xdr:nvSpPr>
      <xdr:spPr>
        <a:xfrm>
          <a:off x="2976562" y="2847974"/>
          <a:ext cx="2905125" cy="2162175"/>
        </a:xfrm>
        <a:prstGeom prst="roundRect">
          <a:avLst>
            <a:gd name="adj" fmla="val 4752"/>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38099</xdr:colOff>
      <xdr:row>15</xdr:row>
      <xdr:rowOff>133349</xdr:rowOff>
    </xdr:from>
    <xdr:to>
      <xdr:col>4</xdr:col>
      <xdr:colOff>504824</xdr:colOff>
      <xdr:row>27</xdr:row>
      <xdr:rowOff>123824</xdr:rowOff>
    </xdr:to>
    <xdr:sp macro="" textlink="">
      <xdr:nvSpPr>
        <xdr:cNvPr id="14" name="Rectangle: Rounded Corners 13">
          <a:extLst>
            <a:ext uri="{FF2B5EF4-FFF2-40B4-BE49-F238E27FC236}">
              <a16:creationId xmlns:a16="http://schemas.microsoft.com/office/drawing/2014/main" id="{ACD85B04-CFDA-426C-94E8-08073DD7B1A7}"/>
            </a:ext>
          </a:extLst>
        </xdr:cNvPr>
        <xdr:cNvSpPr/>
      </xdr:nvSpPr>
      <xdr:spPr>
        <a:xfrm>
          <a:off x="38099" y="2847974"/>
          <a:ext cx="2905125" cy="2162175"/>
        </a:xfrm>
        <a:prstGeom prst="roundRect">
          <a:avLst>
            <a:gd name="adj" fmla="val 4752"/>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571500</xdr:colOff>
      <xdr:row>3</xdr:row>
      <xdr:rowOff>123826</xdr:rowOff>
    </xdr:from>
    <xdr:to>
      <xdr:col>9</xdr:col>
      <xdr:colOff>352425</xdr:colOff>
      <xdr:row>15</xdr:row>
      <xdr:rowOff>57150</xdr:rowOff>
    </xdr:to>
    <xdr:graphicFrame macro="">
      <xdr:nvGraphicFramePr>
        <xdr:cNvPr id="15" name="Chart 14">
          <a:extLst>
            <a:ext uri="{FF2B5EF4-FFF2-40B4-BE49-F238E27FC236}">
              <a16:creationId xmlns:a16="http://schemas.microsoft.com/office/drawing/2014/main" id="{2C57ECB1-A046-4F04-B191-8B1C5B40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447676</xdr:colOff>
      <xdr:row>3</xdr:row>
      <xdr:rowOff>123825</xdr:rowOff>
    </xdr:from>
    <xdr:to>
      <xdr:col>14</xdr:col>
      <xdr:colOff>247650</xdr:colOff>
      <xdr:row>15</xdr:row>
      <xdr:rowOff>57150</xdr:rowOff>
    </xdr:to>
    <xdr:graphicFrame macro="">
      <xdr:nvGraphicFramePr>
        <xdr:cNvPr id="16" name="Chart 15">
          <a:extLst>
            <a:ext uri="{FF2B5EF4-FFF2-40B4-BE49-F238E27FC236}">
              <a16:creationId xmlns:a16="http://schemas.microsoft.com/office/drawing/2014/main" id="{1BE7594C-8956-40E1-8F8C-63632BAD9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15</xdr:row>
      <xdr:rowOff>152400</xdr:rowOff>
    </xdr:from>
    <xdr:to>
      <xdr:col>4</xdr:col>
      <xdr:colOff>447675</xdr:colOff>
      <xdr:row>27</xdr:row>
      <xdr:rowOff>95250</xdr:rowOff>
    </xdr:to>
    <xdr:graphicFrame macro="">
      <xdr:nvGraphicFramePr>
        <xdr:cNvPr id="17" name="Chart 16">
          <a:extLst>
            <a:ext uri="{FF2B5EF4-FFF2-40B4-BE49-F238E27FC236}">
              <a16:creationId xmlns:a16="http://schemas.microsoft.com/office/drawing/2014/main" id="{55420BEC-BC46-4F77-A2EB-ECCC59B92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571501</xdr:colOff>
      <xdr:row>15</xdr:row>
      <xdr:rowOff>161925</xdr:rowOff>
    </xdr:from>
    <xdr:to>
      <xdr:col>9</xdr:col>
      <xdr:colOff>352425</xdr:colOff>
      <xdr:row>27</xdr:row>
      <xdr:rowOff>95250</xdr:rowOff>
    </xdr:to>
    <xdr:graphicFrame macro="">
      <xdr:nvGraphicFramePr>
        <xdr:cNvPr id="18" name="Chart 17">
          <a:extLst>
            <a:ext uri="{FF2B5EF4-FFF2-40B4-BE49-F238E27FC236}">
              <a16:creationId xmlns:a16="http://schemas.microsoft.com/office/drawing/2014/main" id="{74A23AC5-AC73-4AF0-B95D-472CC17AD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466725</xdr:colOff>
      <xdr:row>15</xdr:row>
      <xdr:rowOff>142875</xdr:rowOff>
    </xdr:from>
    <xdr:to>
      <xdr:col>14</xdr:col>
      <xdr:colOff>266700</xdr:colOff>
      <xdr:row>27</xdr:row>
      <xdr:rowOff>66675</xdr:rowOff>
    </xdr:to>
    <xdr:graphicFrame macro="">
      <xdr:nvGraphicFramePr>
        <xdr:cNvPr id="19" name="Chart 18">
          <a:extLst>
            <a:ext uri="{FF2B5EF4-FFF2-40B4-BE49-F238E27FC236}">
              <a16:creationId xmlns:a16="http://schemas.microsoft.com/office/drawing/2014/main" id="{11919B09-275F-4102-BF70-713E0042D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3</xdr:row>
      <xdr:rowOff>142874</xdr:rowOff>
    </xdr:from>
    <xdr:to>
      <xdr:col>4</xdr:col>
      <xdr:colOff>457200</xdr:colOff>
      <xdr:row>15</xdr:row>
      <xdr:rowOff>57150</xdr:rowOff>
    </xdr:to>
    <xdr:graphicFrame macro="">
      <xdr:nvGraphicFramePr>
        <xdr:cNvPr id="20" name="Chart 19">
          <a:extLst>
            <a:ext uri="{FF2B5EF4-FFF2-40B4-BE49-F238E27FC236}">
              <a16:creationId xmlns:a16="http://schemas.microsoft.com/office/drawing/2014/main" id="{995E3741-B2B5-4CC3-8F57-96A76E4BB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320040</xdr:colOff>
      <xdr:row>3</xdr:row>
      <xdr:rowOff>81915</xdr:rowOff>
    </xdr:from>
    <xdr:to>
      <xdr:col>18</xdr:col>
      <xdr:colOff>0</xdr:colOff>
      <xdr:row>10</xdr:row>
      <xdr:rowOff>0</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C330C08E-FC41-5849-7E27-71A2577D26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54440" y="624840"/>
              <a:ext cx="1828800" cy="1708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329565</xdr:colOff>
      <xdr:row>10</xdr:row>
      <xdr:rowOff>1</xdr:rowOff>
    </xdr:from>
    <xdr:to>
      <xdr:col>18</xdr:col>
      <xdr:colOff>0</xdr:colOff>
      <xdr:row>18</xdr:row>
      <xdr:rowOff>1</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8E440769-B67B-9AE1-C927-FC4FF57BCDC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820422" y="1866123"/>
              <a:ext cx="2096394" cy="1492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329565</xdr:colOff>
      <xdr:row>18</xdr:row>
      <xdr:rowOff>46653</xdr:rowOff>
    </xdr:from>
    <xdr:to>
      <xdr:col>18</xdr:col>
      <xdr:colOff>0</xdr:colOff>
      <xdr:row>28</xdr:row>
      <xdr:rowOff>0</xdr:rowOff>
    </xdr:to>
    <mc:AlternateContent xmlns:mc="http://schemas.openxmlformats.org/markup-compatibility/2006" xmlns:a14="http://schemas.microsoft.com/office/drawing/2010/main">
      <mc:Choice Requires="a14">
        <xdr:graphicFrame macro="">
          <xdr:nvGraphicFramePr>
            <xdr:cNvPr id="23" name="Months">
              <a:extLst>
                <a:ext uri="{FF2B5EF4-FFF2-40B4-BE49-F238E27FC236}">
                  <a16:creationId xmlns:a16="http://schemas.microsoft.com/office/drawing/2014/main" id="{19268601-106A-9FC5-E5D6-A8EE337B78A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820422" y="3405673"/>
              <a:ext cx="2096394" cy="1819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6.632553240743" createdVersion="8" refreshedVersion="8" minRefreshableVersion="3" recordCount="360" xr:uid="{53F53B21-06CD-42D1-A989-1DD0217DE560}">
  <cacheSource type="worksheet">
    <worksheetSource name="Sales_Table"/>
  </cacheSource>
  <cacheFields count="14">
    <cacheField name="OrderID" numFmtId="0">
      <sharedItems/>
    </cacheField>
    <cacheField name="OrderDate" numFmtId="164">
      <sharedItems containsSemiMixedTypes="0" containsNonDate="0" containsDate="1" containsString="0" minDate="2024-01-01T00:00:00" maxDate="2024-06-30T00:00:00"/>
    </cacheField>
    <cacheField name="Days" numFmtId="164">
      <sharedItems count="7">
        <s v="Thursday"/>
        <s v="Sunday"/>
        <s v="Monday"/>
        <s v="Friday"/>
        <s v="Saturday"/>
        <s v="Wednesday"/>
        <s v="Tuesday"/>
      </sharedItems>
    </cacheField>
    <cacheField name="Months" numFmtId="164">
      <sharedItems count="6">
        <s v="January"/>
        <s v="June"/>
        <s v="May"/>
        <s v="March"/>
        <s v="February"/>
        <s v="April"/>
      </sharedItems>
    </cacheField>
    <cacheField name="CustomerID" numFmtId="0">
      <sharedItems/>
    </cacheField>
    <cacheField name="ProductID" numFmtId="0">
      <sharedItems/>
    </cacheField>
    <cacheField name="Quantity" numFmtId="0">
      <sharedItems containsSemiMixedTypes="0" containsString="0" containsNumber="1" containsInteger="1" minValue="1" maxValue="5"/>
    </cacheField>
    <cacheField name="SalesAmount" numFmtId="0">
      <sharedItems containsSemiMixedTypes="0" containsString="0" containsNumber="1" minValue="39.700000000000003" maxValue="2261"/>
    </cacheField>
    <cacheField name="ProductName" numFmtId="0">
      <sharedItems/>
    </cacheField>
    <cacheField name="Category" numFmtId="0">
      <sharedItems count="5">
        <s v="Sports"/>
        <s v="Home"/>
        <s v="Clothing"/>
        <s v="Beauty"/>
        <s v="Electronics"/>
      </sharedItems>
    </cacheField>
    <cacheField name="UnitPrice" numFmtId="0">
      <sharedItems containsNonDate="0" containsString="0" containsBlank="1"/>
    </cacheField>
    <cacheField name="CustomerName" numFmtId="0">
      <sharedItems containsNonDate="0" containsString="0" containsBlank="1"/>
    </cacheField>
    <cacheField name="Country" numFmtId="0">
      <sharedItems count="6">
        <s v="Canada"/>
        <s v="India"/>
        <s v="United States"/>
        <s v="United Kingdom"/>
        <s v="US" u="1"/>
        <s v="UK" u="1"/>
      </sharedItems>
    </cacheField>
    <cacheField name="Email" numFmtId="0">
      <sharedItems/>
    </cacheField>
  </cacheFields>
  <extLst>
    <ext xmlns:x14="http://schemas.microsoft.com/office/spreadsheetml/2009/9/main" uri="{725AE2AE-9491-48be-B2B4-4EB974FC3084}">
      <x14:pivotCacheDefinition pivotCacheId="1867589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s v="ORD0001"/>
    <d v="2024-01-11T00:00:00"/>
    <x v="0"/>
    <x v="0"/>
    <s v="CUST115"/>
    <s v="PROD020"/>
    <n v="5"/>
    <n v="2098.25"/>
    <s v="Product_20"/>
    <x v="0"/>
    <m/>
    <m/>
    <x v="0"/>
    <s v="customer115@email.com"/>
  </r>
  <r>
    <s v="ORD0002"/>
    <d v="2024-01-21T00:00:00"/>
    <x v="1"/>
    <x v="0"/>
    <s v="CUST077"/>
    <s v="PROD032"/>
    <n v="5"/>
    <n v="199.35"/>
    <s v="Product_32"/>
    <x v="0"/>
    <m/>
    <m/>
    <x v="1"/>
    <s v="customer77@email.com"/>
  </r>
  <r>
    <s v="ORD0003"/>
    <d v="2024-06-17T00:00:00"/>
    <x v="2"/>
    <x v="1"/>
    <s v="CUST091"/>
    <s v="PROD017"/>
    <n v="4"/>
    <n v="946.76"/>
    <s v="Product_17"/>
    <x v="1"/>
    <m/>
    <m/>
    <x v="0"/>
    <s v="customer91@email.com"/>
  </r>
  <r>
    <s v="ORD0004"/>
    <d v="2024-05-24T00:00:00"/>
    <x v="3"/>
    <x v="2"/>
    <s v="CUST097"/>
    <s v="PROD006"/>
    <n v="5"/>
    <n v="1972.3"/>
    <s v="Product_6"/>
    <x v="2"/>
    <m/>
    <m/>
    <x v="0"/>
    <s v="customer97@email.com"/>
  </r>
  <r>
    <s v="ORD0005"/>
    <d v="2024-03-21T00:00:00"/>
    <x v="0"/>
    <x v="3"/>
    <s v="CUST018"/>
    <s v="PROD039"/>
    <n v="5"/>
    <n v="1039.25"/>
    <s v="Product_39"/>
    <x v="2"/>
    <m/>
    <m/>
    <x v="2"/>
    <s v="customer18@email.com"/>
  </r>
  <r>
    <s v="ORD0006"/>
    <d v="2024-02-22T00:00:00"/>
    <x v="0"/>
    <x v="4"/>
    <s v="CUST038"/>
    <s v="PROD007"/>
    <n v="3"/>
    <n v="309.89999999999998"/>
    <s v="Product_7"/>
    <x v="3"/>
    <m/>
    <m/>
    <x v="2"/>
    <s v="customer38@email.com"/>
  </r>
  <r>
    <s v="ORD0007"/>
    <d v="2024-03-02T00:00:00"/>
    <x v="4"/>
    <x v="3"/>
    <s v="CUST060"/>
    <s v="PROD027"/>
    <n v="3"/>
    <n v="449.31"/>
    <s v="Product_27"/>
    <x v="3"/>
    <m/>
    <m/>
    <x v="3"/>
    <s v="customer60@email.com"/>
  </r>
  <r>
    <s v="ORD0008"/>
    <d v="2024-04-11T00:00:00"/>
    <x v="0"/>
    <x v="5"/>
    <s v="CUST115"/>
    <s v="PROD024"/>
    <n v="3"/>
    <n v="1356.6"/>
    <s v="Product_24"/>
    <x v="3"/>
    <m/>
    <m/>
    <x v="0"/>
    <s v="customer115@email.com"/>
  </r>
  <r>
    <s v="ORD0009"/>
    <d v="2024-06-20T00:00:00"/>
    <x v="0"/>
    <x v="1"/>
    <s v="CUST006"/>
    <s v="PROD024"/>
    <n v="2"/>
    <n v="904.4"/>
    <s v="Product_24"/>
    <x v="3"/>
    <m/>
    <m/>
    <x v="3"/>
    <s v="customer6@email.com"/>
  </r>
  <r>
    <s v="ORD0010"/>
    <d v="2024-04-27T00:00:00"/>
    <x v="4"/>
    <x v="5"/>
    <s v="CUST021"/>
    <s v="PROD006"/>
    <n v="3"/>
    <n v="1183.3800000000001"/>
    <s v="Product_6"/>
    <x v="2"/>
    <m/>
    <m/>
    <x v="3"/>
    <s v="customer21@email.com"/>
  </r>
  <r>
    <s v="ORD0011"/>
    <d v="2024-01-19T00:00:00"/>
    <x v="3"/>
    <x v="0"/>
    <s v="CUST041"/>
    <s v="PROD005"/>
    <n v="3"/>
    <n v="877.02"/>
    <s v="Product_5"/>
    <x v="0"/>
    <m/>
    <m/>
    <x v="2"/>
    <s v="customer41@email.com"/>
  </r>
  <r>
    <s v="ORD0012"/>
    <d v="2024-04-27T00:00:00"/>
    <x v="4"/>
    <x v="5"/>
    <s v="CUST110"/>
    <s v="PROD028"/>
    <n v="1"/>
    <n v="334.32"/>
    <s v="Product_28"/>
    <x v="0"/>
    <m/>
    <m/>
    <x v="2"/>
    <s v="customer110@email.com"/>
  </r>
  <r>
    <s v="ORD0013"/>
    <d v="2024-05-24T00:00:00"/>
    <x v="3"/>
    <x v="2"/>
    <s v="CUST025"/>
    <s v="PROD033"/>
    <n v="5"/>
    <n v="190.05"/>
    <s v="Product_33"/>
    <x v="1"/>
    <m/>
    <m/>
    <x v="3"/>
    <s v="customer25@email.com"/>
  </r>
  <r>
    <s v="ORD0014"/>
    <d v="2024-01-19T00:00:00"/>
    <x v="3"/>
    <x v="0"/>
    <s v="CUST053"/>
    <s v="PROD015"/>
    <n v="1"/>
    <n v="272.77999999999997"/>
    <s v="Product_15"/>
    <x v="2"/>
    <m/>
    <m/>
    <x v="2"/>
    <s v="customer53@email.com"/>
  </r>
  <r>
    <s v="ORD0015"/>
    <d v="2024-02-24T00:00:00"/>
    <x v="4"/>
    <x v="4"/>
    <s v="CUST043"/>
    <s v="PROD017"/>
    <n v="5"/>
    <n v="1183.45"/>
    <s v="Product_17"/>
    <x v="1"/>
    <m/>
    <m/>
    <x v="3"/>
    <s v="customer43@email.com"/>
  </r>
  <r>
    <s v="ORD0016"/>
    <d v="2024-03-08T00:00:00"/>
    <x v="3"/>
    <x v="3"/>
    <s v="CUST049"/>
    <s v="PROD031"/>
    <n v="5"/>
    <n v="1469"/>
    <s v="Product_31"/>
    <x v="4"/>
    <m/>
    <m/>
    <x v="0"/>
    <s v="customer49@email.com"/>
  </r>
  <r>
    <s v="ORD0017"/>
    <d v="2024-03-30T00:00:00"/>
    <x v="4"/>
    <x v="3"/>
    <s v="CUST080"/>
    <s v="PROD029"/>
    <n v="2"/>
    <n v="171.7"/>
    <s v="Product_29"/>
    <x v="3"/>
    <m/>
    <m/>
    <x v="2"/>
    <s v="customer80@email.com"/>
  </r>
  <r>
    <s v="ORD0018"/>
    <d v="2024-03-03T00:00:00"/>
    <x v="1"/>
    <x v="3"/>
    <s v="CUST071"/>
    <s v="PROD040"/>
    <n v="1"/>
    <n v="130.65"/>
    <s v="Product_40"/>
    <x v="0"/>
    <m/>
    <m/>
    <x v="1"/>
    <s v="customer71@email.com"/>
  </r>
  <r>
    <s v="ORD0019"/>
    <d v="2024-03-13T00:00:00"/>
    <x v="5"/>
    <x v="3"/>
    <s v="CUST083"/>
    <s v="PROD028"/>
    <n v="3"/>
    <n v="1002.96"/>
    <s v="Product_28"/>
    <x v="0"/>
    <m/>
    <m/>
    <x v="3"/>
    <s v="customer83@email.com"/>
  </r>
  <r>
    <s v="ORD0020"/>
    <d v="2024-04-22T00:00:00"/>
    <x v="2"/>
    <x v="5"/>
    <s v="CUST006"/>
    <s v="PROD020"/>
    <n v="2"/>
    <n v="839.3"/>
    <s v="Product_20"/>
    <x v="0"/>
    <m/>
    <m/>
    <x v="3"/>
    <s v="customer6@email.com"/>
  </r>
  <r>
    <s v="ORD0021"/>
    <d v="2024-06-29T00:00:00"/>
    <x v="4"/>
    <x v="1"/>
    <s v="CUST006"/>
    <s v="PROD022"/>
    <n v="5"/>
    <n v="457.45"/>
    <s v="Product_22"/>
    <x v="2"/>
    <m/>
    <m/>
    <x v="3"/>
    <s v="customer6@email.com"/>
  </r>
  <r>
    <s v="ORD0022"/>
    <d v="2024-06-05T00:00:00"/>
    <x v="5"/>
    <x v="1"/>
    <s v="CUST102"/>
    <s v="PROD019"/>
    <n v="3"/>
    <n v="173.94"/>
    <s v="Product_19"/>
    <x v="0"/>
    <m/>
    <m/>
    <x v="0"/>
    <s v="customer102@email.com"/>
  </r>
  <r>
    <s v="ORD0023"/>
    <d v="2024-01-03T00:00:00"/>
    <x v="5"/>
    <x v="0"/>
    <s v="CUST061"/>
    <s v="PROD022"/>
    <n v="5"/>
    <n v="457.45"/>
    <s v="Product_22"/>
    <x v="2"/>
    <m/>
    <m/>
    <x v="1"/>
    <s v="customer61@email.com"/>
  </r>
  <r>
    <s v="ORD0024"/>
    <d v="2024-03-17T00:00:00"/>
    <x v="1"/>
    <x v="3"/>
    <s v="CUST104"/>
    <s v="PROD013"/>
    <n v="5"/>
    <n v="2011.45"/>
    <s v="Product_13"/>
    <x v="1"/>
    <m/>
    <m/>
    <x v="0"/>
    <s v="customer104@email.com"/>
  </r>
  <r>
    <s v="ORD0025"/>
    <d v="2024-02-04T00:00:00"/>
    <x v="1"/>
    <x v="4"/>
    <s v="CUST027"/>
    <s v="PROD032"/>
    <n v="1"/>
    <n v="39.869999999999997"/>
    <s v="Product_32"/>
    <x v="0"/>
    <m/>
    <m/>
    <x v="2"/>
    <s v="customer27@email.com"/>
  </r>
  <r>
    <s v="ORD0026"/>
    <d v="2024-01-30T00:00:00"/>
    <x v="6"/>
    <x v="0"/>
    <s v="CUST041"/>
    <s v="PROD016"/>
    <n v="3"/>
    <n v="650.16"/>
    <s v="Product_16"/>
    <x v="2"/>
    <m/>
    <m/>
    <x v="2"/>
    <s v="customer41@email.com"/>
  </r>
  <r>
    <s v="ORD0027"/>
    <d v="2024-05-21T00:00:00"/>
    <x v="6"/>
    <x v="2"/>
    <s v="CUST001"/>
    <s v="PROD020"/>
    <n v="1"/>
    <n v="419.65"/>
    <s v="Product_20"/>
    <x v="0"/>
    <m/>
    <m/>
    <x v="1"/>
    <s v="customer1@email.com"/>
  </r>
  <r>
    <s v="ORD0028"/>
    <d v="2024-03-10T00:00:00"/>
    <x v="1"/>
    <x v="3"/>
    <s v="CUST056"/>
    <s v="PROD032"/>
    <n v="2"/>
    <n v="79.739999999999995"/>
    <s v="Product_32"/>
    <x v="0"/>
    <m/>
    <m/>
    <x v="3"/>
    <s v="customer56@email.com"/>
  </r>
  <r>
    <s v="ORD0029"/>
    <d v="2024-06-03T00:00:00"/>
    <x v="2"/>
    <x v="1"/>
    <s v="CUST034"/>
    <s v="PROD007"/>
    <n v="3"/>
    <n v="309.89999999999998"/>
    <s v="Product_7"/>
    <x v="3"/>
    <m/>
    <m/>
    <x v="2"/>
    <s v="customer34@email.com"/>
  </r>
  <r>
    <s v="ORD0030"/>
    <d v="2024-03-28T00:00:00"/>
    <x v="0"/>
    <x v="3"/>
    <s v="CUST098"/>
    <s v="PROD010"/>
    <n v="2"/>
    <n v="866.56"/>
    <s v="Product_10"/>
    <x v="3"/>
    <m/>
    <m/>
    <x v="3"/>
    <s v="customer98@email.com"/>
  </r>
  <r>
    <s v="ORD0031"/>
    <d v="2024-06-24T00:00:00"/>
    <x v="2"/>
    <x v="1"/>
    <s v="CUST082"/>
    <s v="PROD019"/>
    <n v="2"/>
    <n v="115.96"/>
    <s v="Product_19"/>
    <x v="0"/>
    <m/>
    <m/>
    <x v="3"/>
    <s v="customer82@email.com"/>
  </r>
  <r>
    <s v="ORD0032"/>
    <d v="2024-05-09T00:00:00"/>
    <x v="0"/>
    <x v="2"/>
    <s v="CUST089"/>
    <s v="PROD022"/>
    <n v="3"/>
    <n v="274.47000000000003"/>
    <s v="Product_22"/>
    <x v="2"/>
    <m/>
    <m/>
    <x v="3"/>
    <s v="customer89@email.com"/>
  </r>
  <r>
    <s v="ORD0033"/>
    <d v="2024-03-05T00:00:00"/>
    <x v="6"/>
    <x v="3"/>
    <s v="CUST031"/>
    <s v="PROD033"/>
    <n v="4"/>
    <n v="152.04"/>
    <s v="Product_33"/>
    <x v="1"/>
    <m/>
    <m/>
    <x v="3"/>
    <s v="customer31@email.com"/>
  </r>
  <r>
    <s v="ORD0034"/>
    <d v="2024-01-24T00:00:00"/>
    <x v="5"/>
    <x v="0"/>
    <s v="CUST002"/>
    <s v="PROD028"/>
    <n v="1"/>
    <n v="334.32"/>
    <s v="Product_28"/>
    <x v="0"/>
    <m/>
    <m/>
    <x v="3"/>
    <s v="customer2@email.com"/>
  </r>
  <r>
    <s v="ORD0035"/>
    <d v="2024-03-11T00:00:00"/>
    <x v="2"/>
    <x v="3"/>
    <s v="CUST092"/>
    <s v="PROD005"/>
    <n v="4"/>
    <n v="1169.3599999999999"/>
    <s v="Product_5"/>
    <x v="0"/>
    <m/>
    <m/>
    <x v="0"/>
    <s v="customer92@email.com"/>
  </r>
  <r>
    <s v="ORD0036"/>
    <d v="2024-01-01T00:00:00"/>
    <x v="2"/>
    <x v="0"/>
    <s v="CUST073"/>
    <s v="PROD029"/>
    <n v="1"/>
    <n v="85.85"/>
    <s v="Product_29"/>
    <x v="3"/>
    <m/>
    <m/>
    <x v="2"/>
    <s v="customer73@email.com"/>
  </r>
  <r>
    <s v="ORD0037"/>
    <d v="2024-02-03T00:00:00"/>
    <x v="4"/>
    <x v="4"/>
    <s v="CUST099"/>
    <s v="PROD013"/>
    <n v="3"/>
    <n v="1206.8699999999999"/>
    <s v="Product_13"/>
    <x v="1"/>
    <m/>
    <m/>
    <x v="3"/>
    <s v="customer99@email.com"/>
  </r>
  <r>
    <s v="ORD0038"/>
    <d v="2024-02-11T00:00:00"/>
    <x v="1"/>
    <x v="4"/>
    <s v="CUST014"/>
    <s v="PROD014"/>
    <n v="3"/>
    <n v="395.52"/>
    <s v="Product_14"/>
    <x v="4"/>
    <m/>
    <m/>
    <x v="2"/>
    <s v="customer14@email.com"/>
  </r>
  <r>
    <s v="ORD0039"/>
    <d v="2024-05-21T00:00:00"/>
    <x v="6"/>
    <x v="2"/>
    <s v="CUST083"/>
    <s v="PROD007"/>
    <n v="4"/>
    <n v="413.2"/>
    <s v="Product_7"/>
    <x v="3"/>
    <m/>
    <m/>
    <x v="3"/>
    <s v="customer83@email.com"/>
  </r>
  <r>
    <s v="ORD0040"/>
    <d v="2024-05-23T00:00:00"/>
    <x v="0"/>
    <x v="2"/>
    <s v="CUST081"/>
    <s v="PROD029"/>
    <n v="4"/>
    <n v="343.4"/>
    <s v="Product_29"/>
    <x v="3"/>
    <m/>
    <m/>
    <x v="2"/>
    <s v="customer81@email.com"/>
  </r>
  <r>
    <s v="ORD0041"/>
    <d v="2024-01-29T00:00:00"/>
    <x v="2"/>
    <x v="0"/>
    <s v="CUST098"/>
    <s v="PROD026"/>
    <n v="1"/>
    <n v="139.94999999999999"/>
    <s v="Product_26"/>
    <x v="3"/>
    <m/>
    <m/>
    <x v="3"/>
    <s v="customer98@email.com"/>
  </r>
  <r>
    <s v="ORD0042"/>
    <d v="2024-06-25T00:00:00"/>
    <x v="6"/>
    <x v="1"/>
    <s v="CUST100"/>
    <s v="PROD017"/>
    <n v="1"/>
    <n v="236.69"/>
    <s v="Product_17"/>
    <x v="1"/>
    <m/>
    <m/>
    <x v="3"/>
    <s v="customer100@email.com"/>
  </r>
  <r>
    <s v="ORD0043"/>
    <d v="2024-05-19T00:00:00"/>
    <x v="1"/>
    <x v="2"/>
    <s v="CUST086"/>
    <s v="PROD036"/>
    <n v="2"/>
    <n v="98.5"/>
    <s v="Product_36"/>
    <x v="0"/>
    <m/>
    <m/>
    <x v="1"/>
    <s v="customer86@email.com"/>
  </r>
  <r>
    <s v="ORD0044"/>
    <d v="2024-04-04T00:00:00"/>
    <x v="0"/>
    <x v="5"/>
    <s v="CUST083"/>
    <s v="PROD028"/>
    <n v="1"/>
    <n v="334.32"/>
    <s v="Product_28"/>
    <x v="0"/>
    <m/>
    <m/>
    <x v="3"/>
    <s v="customer83@email.com"/>
  </r>
  <r>
    <s v="ORD0045"/>
    <d v="2024-05-21T00:00:00"/>
    <x v="6"/>
    <x v="2"/>
    <s v="CUST059"/>
    <s v="PROD015"/>
    <n v="5"/>
    <n v="1363.9"/>
    <s v="Product_15"/>
    <x v="2"/>
    <m/>
    <m/>
    <x v="3"/>
    <s v="customer59@email.com"/>
  </r>
  <r>
    <s v="ORD0046"/>
    <d v="2024-04-20T00:00:00"/>
    <x v="4"/>
    <x v="5"/>
    <s v="CUST050"/>
    <s v="PROD018"/>
    <n v="2"/>
    <n v="454.26"/>
    <s v="Product_18"/>
    <x v="4"/>
    <m/>
    <m/>
    <x v="1"/>
    <s v="customer50@email.com"/>
  </r>
  <r>
    <s v="ORD0047"/>
    <d v="2024-01-11T00:00:00"/>
    <x v="0"/>
    <x v="0"/>
    <s v="CUST116"/>
    <s v="PROD005"/>
    <n v="2"/>
    <n v="584.67999999999995"/>
    <s v="Product_5"/>
    <x v="0"/>
    <m/>
    <m/>
    <x v="3"/>
    <s v="customer116@email.com"/>
  </r>
  <r>
    <s v="ORD0048"/>
    <d v="2024-04-03T00:00:00"/>
    <x v="5"/>
    <x v="5"/>
    <s v="CUST001"/>
    <s v="PROD022"/>
    <n v="3"/>
    <n v="274.47000000000003"/>
    <s v="Product_22"/>
    <x v="2"/>
    <m/>
    <m/>
    <x v="1"/>
    <s v="customer1@email.com"/>
  </r>
  <r>
    <s v="ORD0049"/>
    <d v="2024-04-01T00:00:00"/>
    <x v="2"/>
    <x v="5"/>
    <s v="CUST091"/>
    <s v="PROD024"/>
    <n v="1"/>
    <n v="452.2"/>
    <s v="Product_24"/>
    <x v="3"/>
    <m/>
    <m/>
    <x v="0"/>
    <s v="customer91@email.com"/>
  </r>
  <r>
    <s v="ORD0050"/>
    <d v="2024-06-23T00:00:00"/>
    <x v="1"/>
    <x v="1"/>
    <s v="CUST096"/>
    <s v="PROD031"/>
    <n v="2"/>
    <n v="587.6"/>
    <s v="Product_31"/>
    <x v="4"/>
    <m/>
    <m/>
    <x v="3"/>
    <s v="customer96@email.com"/>
  </r>
  <r>
    <s v="ORD0051"/>
    <d v="2024-06-19T00:00:00"/>
    <x v="5"/>
    <x v="1"/>
    <s v="CUST060"/>
    <s v="PROD035"/>
    <n v="2"/>
    <n v="174.28"/>
    <s v="Product_35"/>
    <x v="0"/>
    <m/>
    <m/>
    <x v="3"/>
    <s v="customer60@email.com"/>
  </r>
  <r>
    <s v="ORD0052"/>
    <d v="2024-03-31T00:00:00"/>
    <x v="1"/>
    <x v="3"/>
    <s v="CUST060"/>
    <s v="PROD012"/>
    <n v="1"/>
    <n v="39.700000000000003"/>
    <s v="Product_12"/>
    <x v="4"/>
    <m/>
    <m/>
    <x v="3"/>
    <s v="customer60@email.com"/>
  </r>
  <r>
    <s v="ORD0053"/>
    <d v="2024-04-14T00:00:00"/>
    <x v="1"/>
    <x v="5"/>
    <s v="CUST042"/>
    <s v="PROD010"/>
    <n v="5"/>
    <n v="2166.4"/>
    <s v="Product_10"/>
    <x v="3"/>
    <m/>
    <m/>
    <x v="1"/>
    <s v="customer42@email.com"/>
  </r>
  <r>
    <s v="ORD0054"/>
    <d v="2024-02-09T00:00:00"/>
    <x v="3"/>
    <x v="4"/>
    <s v="CUST085"/>
    <s v="PROD030"/>
    <n v="5"/>
    <n v="583.35"/>
    <s v="Product_30"/>
    <x v="1"/>
    <m/>
    <m/>
    <x v="0"/>
    <s v="customer85@email.com"/>
  </r>
  <r>
    <s v="ORD0055"/>
    <d v="2024-02-11T00:00:00"/>
    <x v="1"/>
    <x v="4"/>
    <s v="CUST084"/>
    <s v="PROD003"/>
    <n v="2"/>
    <n v="675.6"/>
    <s v="Product_3"/>
    <x v="1"/>
    <m/>
    <m/>
    <x v="0"/>
    <s v="customer84@email.com"/>
  </r>
  <r>
    <s v="ORD0056"/>
    <d v="2024-04-15T00:00:00"/>
    <x v="2"/>
    <x v="5"/>
    <s v="CUST110"/>
    <s v="PROD027"/>
    <n v="2"/>
    <n v="299.54000000000002"/>
    <s v="Product_27"/>
    <x v="3"/>
    <m/>
    <m/>
    <x v="2"/>
    <s v="customer110@email.com"/>
  </r>
  <r>
    <s v="ORD0057"/>
    <d v="2024-02-15T00:00:00"/>
    <x v="0"/>
    <x v="4"/>
    <s v="CUST005"/>
    <s v="PROD001"/>
    <n v="1"/>
    <n v="431.22"/>
    <s v="Product_1"/>
    <x v="4"/>
    <m/>
    <m/>
    <x v="1"/>
    <s v="customer5@email.com"/>
  </r>
  <r>
    <s v="ORD0058"/>
    <d v="2024-04-15T00:00:00"/>
    <x v="2"/>
    <x v="5"/>
    <s v="CUST089"/>
    <s v="PROD013"/>
    <n v="3"/>
    <n v="1206.8699999999999"/>
    <s v="Product_13"/>
    <x v="1"/>
    <m/>
    <m/>
    <x v="3"/>
    <s v="customer89@email.com"/>
  </r>
  <r>
    <s v="ORD0059"/>
    <d v="2024-03-09T00:00:00"/>
    <x v="4"/>
    <x v="3"/>
    <s v="CUST030"/>
    <s v="PROD016"/>
    <n v="2"/>
    <n v="433.44"/>
    <s v="Product_16"/>
    <x v="2"/>
    <m/>
    <m/>
    <x v="2"/>
    <s v="customer30@email.com"/>
  </r>
  <r>
    <s v="ORD0060"/>
    <d v="2024-06-28T00:00:00"/>
    <x v="3"/>
    <x v="1"/>
    <s v="CUST101"/>
    <s v="PROD024"/>
    <n v="2"/>
    <n v="904.4"/>
    <s v="Product_24"/>
    <x v="3"/>
    <m/>
    <m/>
    <x v="1"/>
    <s v="customer101@email.com"/>
  </r>
  <r>
    <s v="ORD0061"/>
    <d v="2024-04-07T00:00:00"/>
    <x v="1"/>
    <x v="5"/>
    <s v="CUST075"/>
    <s v="PROD010"/>
    <n v="1"/>
    <n v="433.28"/>
    <s v="Product_10"/>
    <x v="3"/>
    <m/>
    <m/>
    <x v="0"/>
    <s v="customer75@email.com"/>
  </r>
  <r>
    <s v="ORD0062"/>
    <d v="2024-04-30T00:00:00"/>
    <x v="6"/>
    <x v="5"/>
    <s v="CUST066"/>
    <s v="PROD008"/>
    <n v="1"/>
    <n v="332.9"/>
    <s v="Product_8"/>
    <x v="4"/>
    <m/>
    <m/>
    <x v="3"/>
    <s v="customer66@email.com"/>
  </r>
  <r>
    <s v="ORD0063"/>
    <d v="2024-02-21T00:00:00"/>
    <x v="5"/>
    <x v="4"/>
    <s v="CUST100"/>
    <s v="PROD011"/>
    <n v="2"/>
    <n v="679.9"/>
    <s v="Product_11"/>
    <x v="4"/>
    <m/>
    <m/>
    <x v="3"/>
    <s v="customer100@email.com"/>
  </r>
  <r>
    <s v="ORD0064"/>
    <d v="2024-03-30T00:00:00"/>
    <x v="4"/>
    <x v="3"/>
    <s v="CUST012"/>
    <s v="PROD012"/>
    <n v="4"/>
    <n v="158.80000000000001"/>
    <s v="Product_12"/>
    <x v="4"/>
    <m/>
    <m/>
    <x v="3"/>
    <s v="customer12@email.com"/>
  </r>
  <r>
    <s v="ORD0065"/>
    <d v="2024-02-28T00:00:00"/>
    <x v="5"/>
    <x v="4"/>
    <s v="CUST091"/>
    <s v="PROD038"/>
    <n v="3"/>
    <n v="1022.55"/>
    <s v="Product_38"/>
    <x v="4"/>
    <m/>
    <m/>
    <x v="0"/>
    <s v="customer91@email.com"/>
  </r>
  <r>
    <s v="ORD0066"/>
    <d v="2024-01-07T00:00:00"/>
    <x v="1"/>
    <x v="0"/>
    <s v="CUST002"/>
    <s v="PROD022"/>
    <n v="2"/>
    <n v="182.98"/>
    <s v="Product_22"/>
    <x v="2"/>
    <m/>
    <m/>
    <x v="3"/>
    <s v="customer2@email.com"/>
  </r>
  <r>
    <s v="ORD0067"/>
    <d v="2024-04-12T00:00:00"/>
    <x v="3"/>
    <x v="5"/>
    <s v="CUST110"/>
    <s v="PROD011"/>
    <n v="2"/>
    <n v="679.9"/>
    <s v="Product_11"/>
    <x v="4"/>
    <m/>
    <m/>
    <x v="2"/>
    <s v="customer110@email.com"/>
  </r>
  <r>
    <s v="ORD0068"/>
    <d v="2024-03-12T00:00:00"/>
    <x v="6"/>
    <x v="3"/>
    <s v="CUST080"/>
    <s v="PROD017"/>
    <n v="3"/>
    <n v="710.07"/>
    <s v="Product_17"/>
    <x v="1"/>
    <m/>
    <m/>
    <x v="2"/>
    <s v="customer80@email.com"/>
  </r>
  <r>
    <s v="ORD0069"/>
    <d v="2024-03-12T00:00:00"/>
    <x v="6"/>
    <x v="3"/>
    <s v="CUST100"/>
    <s v="PROD031"/>
    <n v="1"/>
    <n v="293.8"/>
    <s v="Product_31"/>
    <x v="4"/>
    <m/>
    <m/>
    <x v="3"/>
    <s v="customer100@email.com"/>
  </r>
  <r>
    <s v="ORD0070"/>
    <d v="2024-06-13T00:00:00"/>
    <x v="0"/>
    <x v="1"/>
    <s v="CUST059"/>
    <s v="PROD022"/>
    <n v="3"/>
    <n v="274.47000000000003"/>
    <s v="Product_22"/>
    <x v="2"/>
    <m/>
    <m/>
    <x v="3"/>
    <s v="customer59@email.com"/>
  </r>
  <r>
    <s v="ORD0071"/>
    <d v="2024-04-12T00:00:00"/>
    <x v="3"/>
    <x v="5"/>
    <s v="CUST079"/>
    <s v="PROD037"/>
    <n v="5"/>
    <n v="217.9"/>
    <s v="Product_37"/>
    <x v="2"/>
    <m/>
    <m/>
    <x v="2"/>
    <s v="customer79@email.com"/>
  </r>
  <r>
    <s v="ORD0072"/>
    <d v="2024-03-25T00:00:00"/>
    <x v="2"/>
    <x v="3"/>
    <s v="CUST115"/>
    <s v="PROD024"/>
    <n v="5"/>
    <n v="2261"/>
    <s v="Product_24"/>
    <x v="3"/>
    <m/>
    <m/>
    <x v="0"/>
    <s v="customer115@email.com"/>
  </r>
  <r>
    <s v="ORD0073"/>
    <d v="2024-01-30T00:00:00"/>
    <x v="6"/>
    <x v="0"/>
    <s v="CUST085"/>
    <s v="PROD038"/>
    <n v="1"/>
    <n v="340.85"/>
    <s v="Product_38"/>
    <x v="4"/>
    <m/>
    <m/>
    <x v="0"/>
    <s v="customer85@email.com"/>
  </r>
  <r>
    <s v="ORD0074"/>
    <d v="2024-02-15T00:00:00"/>
    <x v="0"/>
    <x v="4"/>
    <s v="CUST091"/>
    <s v="PROD001"/>
    <n v="3"/>
    <n v="1293.6600000000001"/>
    <s v="Product_1"/>
    <x v="4"/>
    <m/>
    <m/>
    <x v="0"/>
    <s v="customer91@email.com"/>
  </r>
  <r>
    <s v="ORD0075"/>
    <d v="2024-03-08T00:00:00"/>
    <x v="3"/>
    <x v="3"/>
    <s v="CUST005"/>
    <s v="PROD002"/>
    <n v="5"/>
    <n v="1309.7"/>
    <s v="Product_2"/>
    <x v="4"/>
    <m/>
    <m/>
    <x v="1"/>
    <s v="customer5@email.com"/>
  </r>
  <r>
    <s v="ORD0076"/>
    <d v="2024-01-28T00:00:00"/>
    <x v="1"/>
    <x v="0"/>
    <s v="CUST113"/>
    <s v="PROD002"/>
    <n v="1"/>
    <n v="261.94"/>
    <s v="Product_2"/>
    <x v="4"/>
    <m/>
    <m/>
    <x v="3"/>
    <s v="customer113@email.com"/>
  </r>
  <r>
    <s v="ORD0077"/>
    <d v="2024-04-21T00:00:00"/>
    <x v="1"/>
    <x v="5"/>
    <s v="CUST005"/>
    <s v="PROD018"/>
    <n v="5"/>
    <n v="1135.6500000000001"/>
    <s v="Product_18"/>
    <x v="4"/>
    <m/>
    <m/>
    <x v="1"/>
    <s v="customer5@email.com"/>
  </r>
  <r>
    <s v="ORD0078"/>
    <d v="2024-03-21T00:00:00"/>
    <x v="0"/>
    <x v="3"/>
    <s v="CUST003"/>
    <s v="PROD007"/>
    <n v="3"/>
    <n v="309.89999999999998"/>
    <s v="Product_7"/>
    <x v="3"/>
    <m/>
    <m/>
    <x v="3"/>
    <s v="customer3@email.com"/>
  </r>
  <r>
    <s v="ORD0079"/>
    <d v="2024-06-04T00:00:00"/>
    <x v="6"/>
    <x v="1"/>
    <s v="CUST111"/>
    <s v="PROD010"/>
    <n v="4"/>
    <n v="1733.12"/>
    <s v="Product_10"/>
    <x v="3"/>
    <m/>
    <m/>
    <x v="0"/>
    <s v="customer111@email.com"/>
  </r>
  <r>
    <s v="ORD0080"/>
    <d v="2024-01-30T00:00:00"/>
    <x v="6"/>
    <x v="0"/>
    <s v="CUST062"/>
    <s v="PROD008"/>
    <n v="5"/>
    <n v="1664.5"/>
    <s v="Product_8"/>
    <x v="4"/>
    <m/>
    <m/>
    <x v="0"/>
    <s v="customer62@email.com"/>
  </r>
  <r>
    <s v="ORD0081"/>
    <d v="2024-05-27T00:00:00"/>
    <x v="2"/>
    <x v="2"/>
    <s v="CUST035"/>
    <s v="PROD019"/>
    <n v="4"/>
    <n v="231.92"/>
    <s v="Product_19"/>
    <x v="0"/>
    <m/>
    <m/>
    <x v="3"/>
    <s v="customer35@email.com"/>
  </r>
  <r>
    <s v="ORD0082"/>
    <d v="2024-03-06T00:00:00"/>
    <x v="5"/>
    <x v="3"/>
    <s v="CUST049"/>
    <s v="PROD009"/>
    <n v="2"/>
    <n v="435.1"/>
    <s v="Product_9"/>
    <x v="1"/>
    <m/>
    <m/>
    <x v="0"/>
    <s v="customer49@email.com"/>
  </r>
  <r>
    <s v="ORD0083"/>
    <d v="2024-04-21T00:00:00"/>
    <x v="1"/>
    <x v="5"/>
    <s v="CUST107"/>
    <s v="PROD016"/>
    <n v="1"/>
    <n v="216.72"/>
    <s v="Product_16"/>
    <x v="2"/>
    <m/>
    <m/>
    <x v="3"/>
    <s v="customer107@email.com"/>
  </r>
  <r>
    <s v="ORD0084"/>
    <d v="2024-05-13T00:00:00"/>
    <x v="2"/>
    <x v="2"/>
    <s v="CUST088"/>
    <s v="PROD001"/>
    <n v="1"/>
    <n v="431.22"/>
    <s v="Product_1"/>
    <x v="4"/>
    <m/>
    <m/>
    <x v="0"/>
    <s v="customer88@email.com"/>
  </r>
  <r>
    <s v="ORD0085"/>
    <d v="2024-06-24T00:00:00"/>
    <x v="2"/>
    <x v="1"/>
    <s v="CUST083"/>
    <s v="PROD001"/>
    <n v="5"/>
    <n v="2156.1"/>
    <s v="Product_1"/>
    <x v="4"/>
    <m/>
    <m/>
    <x v="3"/>
    <s v="customer83@email.com"/>
  </r>
  <r>
    <s v="ORD0086"/>
    <d v="2024-04-03T00:00:00"/>
    <x v="5"/>
    <x v="5"/>
    <s v="CUST087"/>
    <s v="PROD014"/>
    <n v="2"/>
    <n v="263.68"/>
    <s v="Product_14"/>
    <x v="4"/>
    <m/>
    <m/>
    <x v="1"/>
    <s v="customer87@email.com"/>
  </r>
  <r>
    <s v="ORD0087"/>
    <d v="2024-01-18T00:00:00"/>
    <x v="0"/>
    <x v="0"/>
    <s v="CUST097"/>
    <s v="PROD038"/>
    <n v="4"/>
    <n v="1363.4"/>
    <s v="Product_38"/>
    <x v="4"/>
    <m/>
    <m/>
    <x v="0"/>
    <s v="customer97@email.com"/>
  </r>
  <r>
    <s v="ORD0088"/>
    <d v="2024-06-08T00:00:00"/>
    <x v="4"/>
    <x v="1"/>
    <s v="CUST094"/>
    <s v="PROD010"/>
    <n v="3"/>
    <n v="1299.8399999999999"/>
    <s v="Product_10"/>
    <x v="3"/>
    <m/>
    <m/>
    <x v="3"/>
    <s v="customer94@email.com"/>
  </r>
  <r>
    <s v="ORD0089"/>
    <d v="2024-06-18T00:00:00"/>
    <x v="6"/>
    <x v="1"/>
    <s v="CUST043"/>
    <s v="PROD016"/>
    <n v="3"/>
    <n v="650.16"/>
    <s v="Product_16"/>
    <x v="2"/>
    <m/>
    <m/>
    <x v="3"/>
    <s v="customer43@email.com"/>
  </r>
  <r>
    <s v="ORD0090"/>
    <d v="2024-03-17T00:00:00"/>
    <x v="1"/>
    <x v="3"/>
    <s v="CUST038"/>
    <s v="PROD007"/>
    <n v="1"/>
    <n v="103.3"/>
    <s v="Product_7"/>
    <x v="3"/>
    <m/>
    <m/>
    <x v="2"/>
    <s v="customer38@email.com"/>
  </r>
  <r>
    <s v="ORD0091"/>
    <d v="2024-03-20T00:00:00"/>
    <x v="5"/>
    <x v="3"/>
    <s v="CUST102"/>
    <s v="PROD012"/>
    <n v="5"/>
    <n v="198.5"/>
    <s v="Product_12"/>
    <x v="4"/>
    <m/>
    <m/>
    <x v="0"/>
    <s v="customer102@email.com"/>
  </r>
  <r>
    <s v="ORD0092"/>
    <d v="2024-03-24T00:00:00"/>
    <x v="1"/>
    <x v="3"/>
    <s v="CUST061"/>
    <s v="PROD005"/>
    <n v="4"/>
    <n v="1169.3599999999999"/>
    <s v="Product_5"/>
    <x v="0"/>
    <m/>
    <m/>
    <x v="1"/>
    <s v="customer61@email.com"/>
  </r>
  <r>
    <s v="ORD0093"/>
    <d v="2024-06-27T00:00:00"/>
    <x v="0"/>
    <x v="1"/>
    <s v="CUST102"/>
    <s v="PROD014"/>
    <n v="4"/>
    <n v="527.36"/>
    <s v="Product_14"/>
    <x v="4"/>
    <m/>
    <m/>
    <x v="0"/>
    <s v="customer102@email.com"/>
  </r>
  <r>
    <s v="ORD0094"/>
    <d v="2024-05-21T00:00:00"/>
    <x v="6"/>
    <x v="2"/>
    <s v="CUST032"/>
    <s v="PROD023"/>
    <n v="3"/>
    <n v="737.61"/>
    <s v="Product_23"/>
    <x v="3"/>
    <m/>
    <m/>
    <x v="3"/>
    <s v="customer32@email.com"/>
  </r>
  <r>
    <s v="ORD0095"/>
    <d v="2024-02-19T00:00:00"/>
    <x v="2"/>
    <x v="4"/>
    <s v="CUST069"/>
    <s v="PROD010"/>
    <n v="2"/>
    <n v="866.56"/>
    <s v="Product_10"/>
    <x v="3"/>
    <m/>
    <m/>
    <x v="3"/>
    <s v="customer69@email.com"/>
  </r>
  <r>
    <s v="ORD0096"/>
    <d v="2024-06-19T00:00:00"/>
    <x v="5"/>
    <x v="1"/>
    <s v="CUST107"/>
    <s v="PROD023"/>
    <n v="4"/>
    <n v="983.48"/>
    <s v="Product_23"/>
    <x v="3"/>
    <m/>
    <m/>
    <x v="3"/>
    <s v="customer107@email.com"/>
  </r>
  <r>
    <s v="ORD0097"/>
    <d v="2024-06-22T00:00:00"/>
    <x v="4"/>
    <x v="1"/>
    <s v="CUST059"/>
    <s v="PROD036"/>
    <n v="4"/>
    <n v="197"/>
    <s v="Product_36"/>
    <x v="0"/>
    <m/>
    <m/>
    <x v="3"/>
    <s v="customer59@email.com"/>
  </r>
  <r>
    <s v="ORD0098"/>
    <d v="2024-06-06T00:00:00"/>
    <x v="0"/>
    <x v="1"/>
    <s v="CUST048"/>
    <s v="PROD031"/>
    <n v="2"/>
    <n v="587.6"/>
    <s v="Product_31"/>
    <x v="4"/>
    <m/>
    <m/>
    <x v="1"/>
    <s v="customer48@email.com"/>
  </r>
  <r>
    <s v="ORD0099"/>
    <d v="2024-03-18T00:00:00"/>
    <x v="2"/>
    <x v="3"/>
    <s v="CUST005"/>
    <s v="PROD008"/>
    <n v="5"/>
    <n v="1664.5"/>
    <s v="Product_8"/>
    <x v="4"/>
    <m/>
    <m/>
    <x v="1"/>
    <s v="customer5@email.com"/>
  </r>
  <r>
    <s v="ORD0100"/>
    <d v="2024-05-20T00:00:00"/>
    <x v="2"/>
    <x v="2"/>
    <s v="CUST082"/>
    <s v="PROD030"/>
    <n v="4"/>
    <n v="466.68"/>
    <s v="Product_30"/>
    <x v="1"/>
    <m/>
    <m/>
    <x v="3"/>
    <s v="customer82@email.com"/>
  </r>
  <r>
    <s v="ORD0101"/>
    <d v="2024-03-18T00:00:00"/>
    <x v="2"/>
    <x v="3"/>
    <s v="CUST010"/>
    <s v="PROD031"/>
    <n v="1"/>
    <n v="293.8"/>
    <s v="Product_31"/>
    <x v="4"/>
    <m/>
    <m/>
    <x v="0"/>
    <s v="customer10@email.com"/>
  </r>
  <r>
    <s v="ORD0102"/>
    <d v="2024-02-23T00:00:00"/>
    <x v="3"/>
    <x v="4"/>
    <s v="CUST014"/>
    <s v="PROD020"/>
    <n v="3"/>
    <n v="1258.95"/>
    <s v="Product_20"/>
    <x v="0"/>
    <m/>
    <m/>
    <x v="2"/>
    <s v="customer14@email.com"/>
  </r>
  <r>
    <s v="ORD0103"/>
    <d v="2024-05-28T00:00:00"/>
    <x v="6"/>
    <x v="2"/>
    <s v="CUST063"/>
    <s v="PROD017"/>
    <n v="4"/>
    <n v="946.76"/>
    <s v="Product_17"/>
    <x v="1"/>
    <m/>
    <m/>
    <x v="1"/>
    <s v="customer63@email.com"/>
  </r>
  <r>
    <s v="ORD0104"/>
    <d v="2024-06-16T00:00:00"/>
    <x v="1"/>
    <x v="1"/>
    <s v="CUST036"/>
    <s v="PROD011"/>
    <n v="5"/>
    <n v="1699.75"/>
    <s v="Product_11"/>
    <x v="4"/>
    <m/>
    <m/>
    <x v="2"/>
    <s v="customer36@email.com"/>
  </r>
  <r>
    <s v="ORD0105"/>
    <d v="2024-04-29T00:00:00"/>
    <x v="2"/>
    <x v="5"/>
    <s v="CUST014"/>
    <s v="PROD014"/>
    <n v="3"/>
    <n v="395.52"/>
    <s v="Product_14"/>
    <x v="4"/>
    <m/>
    <m/>
    <x v="2"/>
    <s v="customer14@email.com"/>
  </r>
  <r>
    <s v="ORD0106"/>
    <d v="2024-04-23T00:00:00"/>
    <x v="6"/>
    <x v="5"/>
    <s v="CUST046"/>
    <s v="PROD022"/>
    <n v="4"/>
    <n v="365.96"/>
    <s v="Product_22"/>
    <x v="2"/>
    <m/>
    <m/>
    <x v="3"/>
    <s v="customer46@email.com"/>
  </r>
  <r>
    <s v="ORD0107"/>
    <d v="2024-05-10T00:00:00"/>
    <x v="3"/>
    <x v="2"/>
    <s v="CUST006"/>
    <s v="PROD040"/>
    <n v="2"/>
    <n v="261.3"/>
    <s v="Product_40"/>
    <x v="0"/>
    <m/>
    <m/>
    <x v="3"/>
    <s v="customer6@email.com"/>
  </r>
  <r>
    <s v="ORD0108"/>
    <d v="2024-02-13T00:00:00"/>
    <x v="6"/>
    <x v="4"/>
    <s v="CUST077"/>
    <s v="PROD016"/>
    <n v="4"/>
    <n v="866.88"/>
    <s v="Product_16"/>
    <x v="2"/>
    <m/>
    <m/>
    <x v="1"/>
    <s v="customer77@email.com"/>
  </r>
  <r>
    <s v="ORD0109"/>
    <d v="2024-03-13T00:00:00"/>
    <x v="5"/>
    <x v="3"/>
    <s v="CUST064"/>
    <s v="PROD015"/>
    <n v="1"/>
    <n v="272.77999999999997"/>
    <s v="Product_15"/>
    <x v="2"/>
    <m/>
    <m/>
    <x v="2"/>
    <s v="customer64@email.com"/>
  </r>
  <r>
    <s v="ORD0110"/>
    <d v="2024-06-18T00:00:00"/>
    <x v="6"/>
    <x v="1"/>
    <s v="CUST088"/>
    <s v="PROD023"/>
    <n v="5"/>
    <n v="1229.3499999999999"/>
    <s v="Product_23"/>
    <x v="3"/>
    <m/>
    <m/>
    <x v="0"/>
    <s v="customer88@email.com"/>
  </r>
  <r>
    <s v="ORD0111"/>
    <d v="2024-03-26T00:00:00"/>
    <x v="6"/>
    <x v="3"/>
    <s v="CUST059"/>
    <s v="PROD013"/>
    <n v="5"/>
    <n v="2011.45"/>
    <s v="Product_13"/>
    <x v="1"/>
    <m/>
    <m/>
    <x v="3"/>
    <s v="customer59@email.com"/>
  </r>
  <r>
    <s v="ORD0112"/>
    <d v="2024-03-01T00:00:00"/>
    <x v="3"/>
    <x v="3"/>
    <s v="CUST106"/>
    <s v="PROD024"/>
    <n v="1"/>
    <n v="452.2"/>
    <s v="Product_24"/>
    <x v="3"/>
    <m/>
    <m/>
    <x v="1"/>
    <s v="customer106@email.com"/>
  </r>
  <r>
    <s v="ORD0113"/>
    <d v="2024-02-27T00:00:00"/>
    <x v="6"/>
    <x v="4"/>
    <s v="CUST094"/>
    <s v="PROD024"/>
    <n v="3"/>
    <n v="1356.6"/>
    <s v="Product_24"/>
    <x v="3"/>
    <m/>
    <m/>
    <x v="3"/>
    <s v="customer94@email.com"/>
  </r>
  <r>
    <s v="ORD0114"/>
    <d v="2024-02-07T00:00:00"/>
    <x v="5"/>
    <x v="4"/>
    <s v="CUST069"/>
    <s v="PROD021"/>
    <n v="2"/>
    <n v="927.84"/>
    <s v="Product_21"/>
    <x v="4"/>
    <m/>
    <m/>
    <x v="3"/>
    <s v="customer69@email.com"/>
  </r>
  <r>
    <s v="ORD0115"/>
    <d v="2024-01-12T00:00:00"/>
    <x v="3"/>
    <x v="0"/>
    <s v="CUST084"/>
    <s v="PROD014"/>
    <n v="1"/>
    <n v="131.84"/>
    <s v="Product_14"/>
    <x v="4"/>
    <m/>
    <m/>
    <x v="0"/>
    <s v="customer84@email.com"/>
  </r>
  <r>
    <s v="ORD0116"/>
    <d v="2024-05-01T00:00:00"/>
    <x v="5"/>
    <x v="2"/>
    <s v="CUST096"/>
    <s v="PROD019"/>
    <n v="2"/>
    <n v="115.96"/>
    <s v="Product_19"/>
    <x v="0"/>
    <m/>
    <m/>
    <x v="3"/>
    <s v="customer96@email.com"/>
  </r>
  <r>
    <s v="ORD0117"/>
    <d v="2024-01-19T00:00:00"/>
    <x v="3"/>
    <x v="0"/>
    <s v="CUST009"/>
    <s v="PROD003"/>
    <n v="5"/>
    <n v="1689"/>
    <s v="Product_3"/>
    <x v="1"/>
    <m/>
    <m/>
    <x v="3"/>
    <s v="customer9@email.com"/>
  </r>
  <r>
    <s v="ORD0118"/>
    <d v="2024-04-16T00:00:00"/>
    <x v="6"/>
    <x v="5"/>
    <s v="CUST099"/>
    <s v="PROD034"/>
    <n v="4"/>
    <n v="974.52"/>
    <s v="Product_34"/>
    <x v="0"/>
    <m/>
    <m/>
    <x v="3"/>
    <s v="customer99@email.com"/>
  </r>
  <r>
    <s v="ORD0119"/>
    <d v="2024-02-19T00:00:00"/>
    <x v="2"/>
    <x v="4"/>
    <s v="CUST119"/>
    <s v="PROD016"/>
    <n v="5"/>
    <n v="1083.5999999999999"/>
    <s v="Product_16"/>
    <x v="2"/>
    <m/>
    <m/>
    <x v="1"/>
    <s v="customer119@email.com"/>
  </r>
  <r>
    <s v="ORD0120"/>
    <d v="2024-05-06T00:00:00"/>
    <x v="2"/>
    <x v="2"/>
    <s v="CUST047"/>
    <s v="PROD012"/>
    <n v="4"/>
    <n v="158.80000000000001"/>
    <s v="Product_12"/>
    <x v="4"/>
    <m/>
    <m/>
    <x v="2"/>
    <s v="customer47@email.com"/>
  </r>
  <r>
    <s v="ORD0121"/>
    <d v="2024-03-03T00:00:00"/>
    <x v="1"/>
    <x v="3"/>
    <s v="CUST116"/>
    <s v="PROD008"/>
    <n v="4"/>
    <n v="1331.6"/>
    <s v="Product_8"/>
    <x v="4"/>
    <m/>
    <m/>
    <x v="3"/>
    <s v="customer116@email.com"/>
  </r>
  <r>
    <s v="ORD0122"/>
    <d v="2024-06-16T00:00:00"/>
    <x v="1"/>
    <x v="1"/>
    <s v="CUST105"/>
    <s v="PROD032"/>
    <n v="2"/>
    <n v="79.739999999999995"/>
    <s v="Product_32"/>
    <x v="0"/>
    <m/>
    <m/>
    <x v="3"/>
    <s v="customer105@email.com"/>
  </r>
  <r>
    <s v="ORD0123"/>
    <d v="2024-01-28T00:00:00"/>
    <x v="1"/>
    <x v="0"/>
    <s v="CUST049"/>
    <s v="PROD034"/>
    <n v="1"/>
    <n v="243.63"/>
    <s v="Product_34"/>
    <x v="0"/>
    <m/>
    <m/>
    <x v="0"/>
    <s v="customer49@email.com"/>
  </r>
  <r>
    <s v="ORD0124"/>
    <d v="2024-02-26T00:00:00"/>
    <x v="2"/>
    <x v="4"/>
    <s v="CUST015"/>
    <s v="PROD001"/>
    <n v="4"/>
    <n v="1724.88"/>
    <s v="Product_1"/>
    <x v="4"/>
    <m/>
    <m/>
    <x v="2"/>
    <s v="customer15@email.com"/>
  </r>
  <r>
    <s v="ORD0125"/>
    <d v="2024-06-27T00:00:00"/>
    <x v="0"/>
    <x v="1"/>
    <s v="CUST029"/>
    <s v="PROD016"/>
    <n v="2"/>
    <n v="433.44"/>
    <s v="Product_16"/>
    <x v="2"/>
    <m/>
    <m/>
    <x v="1"/>
    <s v="customer29@email.com"/>
  </r>
  <r>
    <s v="ORD0126"/>
    <d v="2024-04-28T00:00:00"/>
    <x v="1"/>
    <x v="5"/>
    <s v="CUST008"/>
    <s v="PROD029"/>
    <n v="5"/>
    <n v="429.25"/>
    <s v="Product_29"/>
    <x v="3"/>
    <m/>
    <m/>
    <x v="3"/>
    <s v="customer8@email.com"/>
  </r>
  <r>
    <s v="ORD0127"/>
    <d v="2024-05-22T00:00:00"/>
    <x v="5"/>
    <x v="2"/>
    <s v="CUST114"/>
    <s v="PROD031"/>
    <n v="1"/>
    <n v="293.8"/>
    <s v="Product_31"/>
    <x v="4"/>
    <m/>
    <m/>
    <x v="2"/>
    <s v="customer114@email.com"/>
  </r>
  <r>
    <s v="ORD0128"/>
    <d v="2024-02-01T00:00:00"/>
    <x v="0"/>
    <x v="4"/>
    <s v="CUST026"/>
    <s v="PROD027"/>
    <n v="2"/>
    <n v="299.54000000000002"/>
    <s v="Product_27"/>
    <x v="3"/>
    <m/>
    <m/>
    <x v="0"/>
    <s v="customer26@email.com"/>
  </r>
  <r>
    <s v="ORD0129"/>
    <d v="2024-02-04T00:00:00"/>
    <x v="1"/>
    <x v="4"/>
    <s v="CUST087"/>
    <s v="PROD001"/>
    <n v="4"/>
    <n v="1724.88"/>
    <s v="Product_1"/>
    <x v="4"/>
    <m/>
    <m/>
    <x v="1"/>
    <s v="customer87@email.com"/>
  </r>
  <r>
    <s v="ORD0130"/>
    <d v="2024-06-19T00:00:00"/>
    <x v="5"/>
    <x v="1"/>
    <s v="CUST069"/>
    <s v="PROD036"/>
    <n v="4"/>
    <n v="197"/>
    <s v="Product_36"/>
    <x v="0"/>
    <m/>
    <m/>
    <x v="3"/>
    <s v="customer69@email.com"/>
  </r>
  <r>
    <s v="ORD0131"/>
    <d v="2024-05-23T00:00:00"/>
    <x v="0"/>
    <x v="2"/>
    <s v="CUST035"/>
    <s v="PROD035"/>
    <n v="5"/>
    <n v="435.7"/>
    <s v="Product_35"/>
    <x v="0"/>
    <m/>
    <m/>
    <x v="3"/>
    <s v="customer35@email.com"/>
  </r>
  <r>
    <s v="ORD0132"/>
    <d v="2024-03-22T00:00:00"/>
    <x v="3"/>
    <x v="3"/>
    <s v="CUST083"/>
    <s v="PROD016"/>
    <n v="5"/>
    <n v="1083.5999999999999"/>
    <s v="Product_16"/>
    <x v="2"/>
    <m/>
    <m/>
    <x v="3"/>
    <s v="customer83@email.com"/>
  </r>
  <r>
    <s v="ORD0133"/>
    <d v="2024-06-05T00:00:00"/>
    <x v="5"/>
    <x v="1"/>
    <s v="CUST058"/>
    <s v="PROD009"/>
    <n v="4"/>
    <n v="870.2"/>
    <s v="Product_9"/>
    <x v="1"/>
    <m/>
    <m/>
    <x v="1"/>
    <s v="customer58@email.com"/>
  </r>
  <r>
    <s v="ORD0134"/>
    <d v="2024-04-19T00:00:00"/>
    <x v="3"/>
    <x v="5"/>
    <s v="CUST056"/>
    <s v="PROD035"/>
    <n v="5"/>
    <n v="435.7"/>
    <s v="Product_35"/>
    <x v="0"/>
    <m/>
    <m/>
    <x v="3"/>
    <s v="customer56@email.com"/>
  </r>
  <r>
    <s v="ORD0135"/>
    <d v="2024-04-24T00:00:00"/>
    <x v="5"/>
    <x v="5"/>
    <s v="CUST045"/>
    <s v="PROD030"/>
    <n v="5"/>
    <n v="583.35"/>
    <s v="Product_30"/>
    <x v="1"/>
    <m/>
    <m/>
    <x v="0"/>
    <s v="customer45@email.com"/>
  </r>
  <r>
    <s v="ORD0136"/>
    <d v="2024-05-01T00:00:00"/>
    <x v="5"/>
    <x v="2"/>
    <s v="CUST050"/>
    <s v="PROD025"/>
    <n v="2"/>
    <n v="391.4"/>
    <s v="Product_25"/>
    <x v="2"/>
    <m/>
    <m/>
    <x v="1"/>
    <s v="customer50@email.com"/>
  </r>
  <r>
    <s v="ORD0137"/>
    <d v="2024-03-07T00:00:00"/>
    <x v="0"/>
    <x v="3"/>
    <s v="CUST088"/>
    <s v="PROD018"/>
    <n v="4"/>
    <n v="908.52"/>
    <s v="Product_18"/>
    <x v="4"/>
    <m/>
    <m/>
    <x v="0"/>
    <s v="customer88@email.com"/>
  </r>
  <r>
    <s v="ORD0138"/>
    <d v="2024-06-12T00:00:00"/>
    <x v="5"/>
    <x v="1"/>
    <s v="CUST081"/>
    <s v="PROD009"/>
    <n v="2"/>
    <n v="435.1"/>
    <s v="Product_9"/>
    <x v="1"/>
    <m/>
    <m/>
    <x v="2"/>
    <s v="customer81@email.com"/>
  </r>
  <r>
    <s v="ORD0139"/>
    <d v="2024-05-13T00:00:00"/>
    <x v="2"/>
    <x v="2"/>
    <s v="CUST067"/>
    <s v="PROD013"/>
    <n v="3"/>
    <n v="1206.8699999999999"/>
    <s v="Product_13"/>
    <x v="1"/>
    <m/>
    <m/>
    <x v="0"/>
    <s v="customer67@email.com"/>
  </r>
  <r>
    <s v="ORD0140"/>
    <d v="2024-06-09T00:00:00"/>
    <x v="1"/>
    <x v="1"/>
    <s v="CUST012"/>
    <s v="PROD034"/>
    <n v="4"/>
    <n v="974.52"/>
    <s v="Product_34"/>
    <x v="0"/>
    <m/>
    <m/>
    <x v="3"/>
    <s v="customer12@email.com"/>
  </r>
  <r>
    <s v="ORD0141"/>
    <d v="2024-03-11T00:00:00"/>
    <x v="2"/>
    <x v="3"/>
    <s v="CUST073"/>
    <s v="PROD031"/>
    <n v="2"/>
    <n v="587.6"/>
    <s v="Product_31"/>
    <x v="4"/>
    <m/>
    <m/>
    <x v="2"/>
    <s v="customer73@email.com"/>
  </r>
  <r>
    <s v="ORD0142"/>
    <d v="2024-01-20T00:00:00"/>
    <x v="4"/>
    <x v="0"/>
    <s v="CUST106"/>
    <s v="PROD024"/>
    <n v="4"/>
    <n v="1808.8"/>
    <s v="Product_24"/>
    <x v="3"/>
    <m/>
    <m/>
    <x v="1"/>
    <s v="customer106@email.com"/>
  </r>
  <r>
    <s v="ORD0143"/>
    <d v="2024-03-01T00:00:00"/>
    <x v="3"/>
    <x v="3"/>
    <s v="CUST020"/>
    <s v="PROD017"/>
    <n v="3"/>
    <n v="710.07"/>
    <s v="Product_17"/>
    <x v="1"/>
    <m/>
    <m/>
    <x v="3"/>
    <s v="customer20@email.com"/>
  </r>
  <r>
    <s v="ORD0144"/>
    <d v="2024-03-26T00:00:00"/>
    <x v="6"/>
    <x v="3"/>
    <s v="CUST030"/>
    <s v="PROD008"/>
    <n v="3"/>
    <n v="998.7"/>
    <s v="Product_8"/>
    <x v="4"/>
    <m/>
    <m/>
    <x v="2"/>
    <s v="customer30@email.com"/>
  </r>
  <r>
    <s v="ORD0145"/>
    <d v="2024-05-18T00:00:00"/>
    <x v="4"/>
    <x v="2"/>
    <s v="CUST029"/>
    <s v="PROD008"/>
    <n v="3"/>
    <n v="998.7"/>
    <s v="Product_8"/>
    <x v="4"/>
    <m/>
    <m/>
    <x v="1"/>
    <s v="customer29@email.com"/>
  </r>
  <r>
    <s v="ORD0146"/>
    <d v="2024-02-05T00:00:00"/>
    <x v="2"/>
    <x v="4"/>
    <s v="CUST067"/>
    <s v="PROD023"/>
    <n v="1"/>
    <n v="245.87"/>
    <s v="Product_23"/>
    <x v="3"/>
    <m/>
    <m/>
    <x v="0"/>
    <s v="customer67@email.com"/>
  </r>
  <r>
    <s v="ORD0147"/>
    <d v="2024-02-29T00:00:00"/>
    <x v="0"/>
    <x v="4"/>
    <s v="CUST075"/>
    <s v="PROD034"/>
    <n v="2"/>
    <n v="487.26"/>
    <s v="Product_34"/>
    <x v="0"/>
    <m/>
    <m/>
    <x v="0"/>
    <s v="customer75@email.com"/>
  </r>
  <r>
    <s v="ORD0148"/>
    <d v="2024-06-26T00:00:00"/>
    <x v="5"/>
    <x v="1"/>
    <s v="CUST106"/>
    <s v="PROD003"/>
    <n v="4"/>
    <n v="1351.2"/>
    <s v="Product_3"/>
    <x v="1"/>
    <m/>
    <m/>
    <x v="1"/>
    <s v="customer106@email.com"/>
  </r>
  <r>
    <s v="ORD0149"/>
    <d v="2024-06-29T00:00:00"/>
    <x v="4"/>
    <x v="1"/>
    <s v="CUST001"/>
    <s v="PROD003"/>
    <n v="2"/>
    <n v="675.6"/>
    <s v="Product_3"/>
    <x v="1"/>
    <m/>
    <m/>
    <x v="1"/>
    <s v="customer1@email.com"/>
  </r>
  <r>
    <s v="ORD0150"/>
    <d v="2024-01-17T00:00:00"/>
    <x v="5"/>
    <x v="0"/>
    <s v="CUST116"/>
    <s v="PROD006"/>
    <n v="2"/>
    <n v="788.92"/>
    <s v="Product_6"/>
    <x v="2"/>
    <m/>
    <m/>
    <x v="3"/>
    <s v="customer116@email.com"/>
  </r>
  <r>
    <s v="ORD0151"/>
    <d v="2024-04-14T00:00:00"/>
    <x v="1"/>
    <x v="5"/>
    <s v="CUST076"/>
    <s v="PROD010"/>
    <n v="4"/>
    <n v="1733.12"/>
    <s v="Product_10"/>
    <x v="3"/>
    <m/>
    <m/>
    <x v="0"/>
    <s v="customer76@email.com"/>
  </r>
  <r>
    <s v="ORD0152"/>
    <d v="2024-05-18T00:00:00"/>
    <x v="4"/>
    <x v="2"/>
    <s v="CUST011"/>
    <s v="PROD026"/>
    <n v="3"/>
    <n v="419.85"/>
    <s v="Product_26"/>
    <x v="3"/>
    <m/>
    <m/>
    <x v="3"/>
    <s v="customer11@email.com"/>
  </r>
  <r>
    <s v="ORD0153"/>
    <d v="2024-04-16T00:00:00"/>
    <x v="6"/>
    <x v="5"/>
    <s v="CUST006"/>
    <s v="PROD036"/>
    <n v="4"/>
    <n v="197"/>
    <s v="Product_36"/>
    <x v="0"/>
    <m/>
    <m/>
    <x v="3"/>
    <s v="customer6@email.com"/>
  </r>
  <r>
    <s v="ORD0154"/>
    <d v="2024-02-22T00:00:00"/>
    <x v="0"/>
    <x v="4"/>
    <s v="CUST019"/>
    <s v="PROD040"/>
    <n v="1"/>
    <n v="130.65"/>
    <s v="Product_40"/>
    <x v="0"/>
    <m/>
    <m/>
    <x v="2"/>
    <s v="customer19@email.com"/>
  </r>
  <r>
    <s v="ORD0155"/>
    <d v="2024-04-09T00:00:00"/>
    <x v="6"/>
    <x v="5"/>
    <s v="CUST014"/>
    <s v="PROD027"/>
    <n v="4"/>
    <n v="599.08000000000004"/>
    <s v="Product_27"/>
    <x v="3"/>
    <m/>
    <m/>
    <x v="2"/>
    <s v="customer14@email.com"/>
  </r>
  <r>
    <s v="ORD0156"/>
    <d v="2024-06-27T00:00:00"/>
    <x v="0"/>
    <x v="1"/>
    <s v="CUST048"/>
    <s v="PROD002"/>
    <n v="5"/>
    <n v="1309.7"/>
    <s v="Product_2"/>
    <x v="4"/>
    <m/>
    <m/>
    <x v="1"/>
    <s v="customer48@email.com"/>
  </r>
  <r>
    <s v="ORD0157"/>
    <d v="2024-05-27T00:00:00"/>
    <x v="2"/>
    <x v="2"/>
    <s v="CUST006"/>
    <s v="PROD019"/>
    <n v="1"/>
    <n v="57.98"/>
    <s v="Product_19"/>
    <x v="0"/>
    <m/>
    <m/>
    <x v="3"/>
    <s v="customer6@email.com"/>
  </r>
  <r>
    <s v="ORD0158"/>
    <d v="2024-05-02T00:00:00"/>
    <x v="0"/>
    <x v="2"/>
    <s v="CUST084"/>
    <s v="PROD033"/>
    <n v="4"/>
    <n v="152.04"/>
    <s v="Product_33"/>
    <x v="1"/>
    <m/>
    <m/>
    <x v="0"/>
    <s v="customer84@email.com"/>
  </r>
  <r>
    <s v="ORD0159"/>
    <d v="2024-03-31T00:00:00"/>
    <x v="1"/>
    <x v="3"/>
    <s v="CUST072"/>
    <s v="PROD002"/>
    <n v="1"/>
    <n v="261.94"/>
    <s v="Product_2"/>
    <x v="4"/>
    <m/>
    <m/>
    <x v="0"/>
    <s v="customer72@email.com"/>
  </r>
  <r>
    <s v="ORD0160"/>
    <d v="2024-04-09T00:00:00"/>
    <x v="6"/>
    <x v="5"/>
    <s v="CUST105"/>
    <s v="PROD019"/>
    <n v="3"/>
    <n v="173.94"/>
    <s v="Product_19"/>
    <x v="0"/>
    <m/>
    <m/>
    <x v="3"/>
    <s v="customer105@email.com"/>
  </r>
  <r>
    <s v="ORD0161"/>
    <d v="2024-05-17T00:00:00"/>
    <x v="3"/>
    <x v="2"/>
    <s v="CUST048"/>
    <s v="PROD035"/>
    <n v="4"/>
    <n v="348.56"/>
    <s v="Product_35"/>
    <x v="0"/>
    <m/>
    <m/>
    <x v="1"/>
    <s v="customer48@email.com"/>
  </r>
  <r>
    <s v="ORD0162"/>
    <d v="2024-06-03T00:00:00"/>
    <x v="2"/>
    <x v="1"/>
    <s v="CUST018"/>
    <s v="PROD013"/>
    <n v="5"/>
    <n v="2011.45"/>
    <s v="Product_13"/>
    <x v="1"/>
    <m/>
    <m/>
    <x v="2"/>
    <s v="customer18@email.com"/>
  </r>
  <r>
    <s v="ORD0163"/>
    <d v="2024-05-04T00:00:00"/>
    <x v="4"/>
    <x v="2"/>
    <s v="CUST059"/>
    <s v="PROD030"/>
    <n v="2"/>
    <n v="233.34"/>
    <s v="Product_30"/>
    <x v="1"/>
    <m/>
    <m/>
    <x v="3"/>
    <s v="customer59@email.com"/>
  </r>
  <r>
    <s v="ORD0164"/>
    <d v="2024-03-10T00:00:00"/>
    <x v="1"/>
    <x v="3"/>
    <s v="CUST016"/>
    <s v="PROD029"/>
    <n v="2"/>
    <n v="171.7"/>
    <s v="Product_29"/>
    <x v="3"/>
    <m/>
    <m/>
    <x v="2"/>
    <s v="customer16@email.com"/>
  </r>
  <r>
    <s v="ORD0165"/>
    <d v="2024-05-04T00:00:00"/>
    <x v="4"/>
    <x v="2"/>
    <s v="CUST112"/>
    <s v="PROD028"/>
    <n v="4"/>
    <n v="1337.28"/>
    <s v="Product_28"/>
    <x v="0"/>
    <m/>
    <m/>
    <x v="3"/>
    <s v="customer112@email.com"/>
  </r>
  <r>
    <s v="ORD0166"/>
    <d v="2024-04-09T00:00:00"/>
    <x v="6"/>
    <x v="5"/>
    <s v="CUST120"/>
    <s v="PROD015"/>
    <n v="1"/>
    <n v="272.77999999999997"/>
    <s v="Product_15"/>
    <x v="2"/>
    <m/>
    <m/>
    <x v="3"/>
    <s v="customer120@email.com"/>
  </r>
  <r>
    <s v="ORD0167"/>
    <d v="2024-06-20T00:00:00"/>
    <x v="0"/>
    <x v="1"/>
    <s v="CUST064"/>
    <s v="PROD029"/>
    <n v="3"/>
    <n v="257.55"/>
    <s v="Product_29"/>
    <x v="3"/>
    <m/>
    <m/>
    <x v="2"/>
    <s v="customer64@email.com"/>
  </r>
  <r>
    <s v="ORD0168"/>
    <d v="2024-02-12T00:00:00"/>
    <x v="2"/>
    <x v="4"/>
    <s v="CUST103"/>
    <s v="PROD030"/>
    <n v="4"/>
    <n v="466.68"/>
    <s v="Product_30"/>
    <x v="1"/>
    <m/>
    <m/>
    <x v="2"/>
    <s v="customer103@email.com"/>
  </r>
  <r>
    <s v="ORD0169"/>
    <d v="2024-02-02T00:00:00"/>
    <x v="3"/>
    <x v="4"/>
    <s v="CUST030"/>
    <s v="PROD004"/>
    <n v="4"/>
    <n v="1096.8800000000001"/>
    <s v="Product_4"/>
    <x v="2"/>
    <m/>
    <m/>
    <x v="2"/>
    <s v="customer30@email.com"/>
  </r>
  <r>
    <s v="ORD0170"/>
    <d v="2024-05-16T00:00:00"/>
    <x v="0"/>
    <x v="2"/>
    <s v="CUST091"/>
    <s v="PROD003"/>
    <n v="5"/>
    <n v="1689"/>
    <s v="Product_3"/>
    <x v="1"/>
    <m/>
    <m/>
    <x v="0"/>
    <s v="customer91@email.com"/>
  </r>
  <r>
    <s v="ORD0171"/>
    <d v="2024-04-10T00:00:00"/>
    <x v="5"/>
    <x v="5"/>
    <s v="CUST074"/>
    <s v="PROD006"/>
    <n v="1"/>
    <n v="394.46"/>
    <s v="Product_6"/>
    <x v="2"/>
    <m/>
    <m/>
    <x v="0"/>
    <s v="customer74@email.com"/>
  </r>
  <r>
    <s v="ORD0172"/>
    <d v="2024-05-24T00:00:00"/>
    <x v="3"/>
    <x v="2"/>
    <s v="CUST008"/>
    <s v="PROD010"/>
    <n v="5"/>
    <n v="2166.4"/>
    <s v="Product_10"/>
    <x v="3"/>
    <m/>
    <m/>
    <x v="3"/>
    <s v="customer8@email.com"/>
  </r>
  <r>
    <s v="ORD0173"/>
    <d v="2024-01-22T00:00:00"/>
    <x v="2"/>
    <x v="0"/>
    <s v="CUST023"/>
    <s v="PROD020"/>
    <n v="1"/>
    <n v="419.65"/>
    <s v="Product_20"/>
    <x v="0"/>
    <m/>
    <m/>
    <x v="2"/>
    <s v="customer23@email.com"/>
  </r>
  <r>
    <s v="ORD0174"/>
    <d v="2024-02-04T00:00:00"/>
    <x v="1"/>
    <x v="4"/>
    <s v="CUST051"/>
    <s v="PROD012"/>
    <n v="4"/>
    <n v="158.80000000000001"/>
    <s v="Product_12"/>
    <x v="4"/>
    <m/>
    <m/>
    <x v="3"/>
    <s v="customer51@email.com"/>
  </r>
  <r>
    <s v="ORD0175"/>
    <d v="2024-02-16T00:00:00"/>
    <x v="3"/>
    <x v="4"/>
    <s v="CUST020"/>
    <s v="PROD024"/>
    <n v="4"/>
    <n v="1808.8"/>
    <s v="Product_24"/>
    <x v="3"/>
    <m/>
    <m/>
    <x v="3"/>
    <s v="customer20@email.com"/>
  </r>
  <r>
    <s v="ORD0176"/>
    <d v="2024-03-07T00:00:00"/>
    <x v="0"/>
    <x v="3"/>
    <s v="CUST093"/>
    <s v="PROD029"/>
    <n v="1"/>
    <n v="85.85"/>
    <s v="Product_29"/>
    <x v="3"/>
    <m/>
    <m/>
    <x v="2"/>
    <s v="customer93@email.com"/>
  </r>
  <r>
    <s v="ORD0177"/>
    <d v="2024-03-24T00:00:00"/>
    <x v="1"/>
    <x v="3"/>
    <s v="CUST059"/>
    <s v="PROD036"/>
    <n v="4"/>
    <n v="197"/>
    <s v="Product_36"/>
    <x v="0"/>
    <m/>
    <m/>
    <x v="3"/>
    <s v="customer59@email.com"/>
  </r>
  <r>
    <s v="ORD0178"/>
    <d v="2024-04-26T00:00:00"/>
    <x v="3"/>
    <x v="5"/>
    <s v="CUST118"/>
    <s v="PROD005"/>
    <n v="2"/>
    <n v="584.67999999999995"/>
    <s v="Product_5"/>
    <x v="0"/>
    <m/>
    <m/>
    <x v="3"/>
    <s v="customer118@email.com"/>
  </r>
  <r>
    <s v="ORD0179"/>
    <d v="2024-03-27T00:00:00"/>
    <x v="5"/>
    <x v="3"/>
    <s v="CUST113"/>
    <s v="PROD012"/>
    <n v="3"/>
    <n v="119.1"/>
    <s v="Product_12"/>
    <x v="4"/>
    <m/>
    <m/>
    <x v="3"/>
    <s v="customer113@email.com"/>
  </r>
  <r>
    <s v="ORD0180"/>
    <d v="2024-03-12T00:00:00"/>
    <x v="6"/>
    <x v="3"/>
    <s v="CUST010"/>
    <s v="PROD005"/>
    <n v="4"/>
    <n v="1169.3599999999999"/>
    <s v="Product_5"/>
    <x v="0"/>
    <m/>
    <m/>
    <x v="0"/>
    <s v="customer10@email.com"/>
  </r>
  <r>
    <s v="ORD0181"/>
    <d v="2024-03-05T00:00:00"/>
    <x v="6"/>
    <x v="3"/>
    <s v="CUST066"/>
    <s v="PROD020"/>
    <n v="4"/>
    <n v="1678.6"/>
    <s v="Product_20"/>
    <x v="0"/>
    <m/>
    <m/>
    <x v="3"/>
    <s v="customer66@email.com"/>
  </r>
  <r>
    <s v="ORD0182"/>
    <d v="2024-04-30T00:00:00"/>
    <x v="6"/>
    <x v="5"/>
    <s v="CUST022"/>
    <s v="PROD009"/>
    <n v="1"/>
    <n v="217.55"/>
    <s v="Product_9"/>
    <x v="1"/>
    <m/>
    <m/>
    <x v="2"/>
    <s v="customer22@email.com"/>
  </r>
  <r>
    <s v="ORD0183"/>
    <d v="2024-05-18T00:00:00"/>
    <x v="4"/>
    <x v="2"/>
    <s v="CUST008"/>
    <s v="PROD030"/>
    <n v="1"/>
    <n v="116.67"/>
    <s v="Product_30"/>
    <x v="1"/>
    <m/>
    <m/>
    <x v="3"/>
    <s v="customer8@email.com"/>
  </r>
  <r>
    <s v="ORD0184"/>
    <d v="2024-03-30T00:00:00"/>
    <x v="4"/>
    <x v="3"/>
    <s v="CUST119"/>
    <s v="PROD006"/>
    <n v="1"/>
    <n v="394.46"/>
    <s v="Product_6"/>
    <x v="2"/>
    <m/>
    <m/>
    <x v="1"/>
    <s v="customer119@email.com"/>
  </r>
  <r>
    <s v="ORD0185"/>
    <d v="2024-06-15T00:00:00"/>
    <x v="4"/>
    <x v="1"/>
    <s v="CUST056"/>
    <s v="PROD024"/>
    <n v="2"/>
    <n v="904.4"/>
    <s v="Product_24"/>
    <x v="3"/>
    <m/>
    <m/>
    <x v="3"/>
    <s v="customer56@email.com"/>
  </r>
  <r>
    <s v="ORD0186"/>
    <d v="2024-06-15T00:00:00"/>
    <x v="4"/>
    <x v="1"/>
    <s v="CUST031"/>
    <s v="PROD029"/>
    <n v="1"/>
    <n v="85.85"/>
    <s v="Product_29"/>
    <x v="3"/>
    <m/>
    <m/>
    <x v="3"/>
    <s v="customer31@email.com"/>
  </r>
  <r>
    <s v="ORD0187"/>
    <d v="2024-01-08T00:00:00"/>
    <x v="2"/>
    <x v="0"/>
    <s v="CUST088"/>
    <s v="PROD008"/>
    <n v="1"/>
    <n v="332.9"/>
    <s v="Product_8"/>
    <x v="4"/>
    <m/>
    <m/>
    <x v="0"/>
    <s v="customer88@email.com"/>
  </r>
  <r>
    <s v="ORD0188"/>
    <d v="2024-02-21T00:00:00"/>
    <x v="5"/>
    <x v="4"/>
    <s v="CUST089"/>
    <s v="PROD029"/>
    <n v="2"/>
    <n v="171.7"/>
    <s v="Product_29"/>
    <x v="3"/>
    <m/>
    <m/>
    <x v="3"/>
    <s v="customer89@email.com"/>
  </r>
  <r>
    <s v="ORD0189"/>
    <d v="2024-06-08T00:00:00"/>
    <x v="4"/>
    <x v="1"/>
    <s v="CUST111"/>
    <s v="PROD003"/>
    <n v="1"/>
    <n v="337.8"/>
    <s v="Product_3"/>
    <x v="1"/>
    <m/>
    <m/>
    <x v="0"/>
    <s v="customer111@email.com"/>
  </r>
  <r>
    <s v="ORD0190"/>
    <d v="2024-03-02T00:00:00"/>
    <x v="4"/>
    <x v="3"/>
    <s v="CUST059"/>
    <s v="PROD025"/>
    <n v="2"/>
    <n v="391.4"/>
    <s v="Product_25"/>
    <x v="2"/>
    <m/>
    <m/>
    <x v="3"/>
    <s v="customer59@email.com"/>
  </r>
  <r>
    <s v="ORD0191"/>
    <d v="2024-05-01T00:00:00"/>
    <x v="5"/>
    <x v="2"/>
    <s v="CUST043"/>
    <s v="PROD033"/>
    <n v="2"/>
    <n v="76.02"/>
    <s v="Product_33"/>
    <x v="1"/>
    <m/>
    <m/>
    <x v="3"/>
    <s v="customer43@email.com"/>
  </r>
  <r>
    <s v="ORD0192"/>
    <d v="2024-05-24T00:00:00"/>
    <x v="3"/>
    <x v="2"/>
    <s v="CUST068"/>
    <s v="PROD037"/>
    <n v="1"/>
    <n v="43.58"/>
    <s v="Product_37"/>
    <x v="2"/>
    <m/>
    <m/>
    <x v="3"/>
    <s v="customer68@email.com"/>
  </r>
  <r>
    <s v="ORD0193"/>
    <d v="2024-04-29T00:00:00"/>
    <x v="2"/>
    <x v="5"/>
    <s v="CUST083"/>
    <s v="PROD018"/>
    <n v="2"/>
    <n v="454.26"/>
    <s v="Product_18"/>
    <x v="4"/>
    <m/>
    <m/>
    <x v="3"/>
    <s v="customer83@email.com"/>
  </r>
  <r>
    <s v="ORD0194"/>
    <d v="2024-04-04T00:00:00"/>
    <x v="0"/>
    <x v="5"/>
    <s v="CUST087"/>
    <s v="PROD040"/>
    <n v="3"/>
    <n v="391.95"/>
    <s v="Product_40"/>
    <x v="0"/>
    <m/>
    <m/>
    <x v="1"/>
    <s v="customer87@email.com"/>
  </r>
  <r>
    <s v="ORD0195"/>
    <d v="2024-06-04T00:00:00"/>
    <x v="6"/>
    <x v="1"/>
    <s v="CUST115"/>
    <s v="PROD009"/>
    <n v="2"/>
    <n v="435.1"/>
    <s v="Product_9"/>
    <x v="1"/>
    <m/>
    <m/>
    <x v="0"/>
    <s v="customer115@email.com"/>
  </r>
  <r>
    <s v="ORD0196"/>
    <d v="2024-01-30T00:00:00"/>
    <x v="6"/>
    <x v="0"/>
    <s v="CUST005"/>
    <s v="PROD028"/>
    <n v="5"/>
    <n v="1671.6"/>
    <s v="Product_28"/>
    <x v="0"/>
    <m/>
    <m/>
    <x v="1"/>
    <s v="customer5@email.com"/>
  </r>
  <r>
    <s v="ORD0197"/>
    <d v="2024-03-20T00:00:00"/>
    <x v="5"/>
    <x v="3"/>
    <s v="CUST082"/>
    <s v="PROD025"/>
    <n v="2"/>
    <n v="391.4"/>
    <s v="Product_25"/>
    <x v="2"/>
    <m/>
    <m/>
    <x v="3"/>
    <s v="customer82@email.com"/>
  </r>
  <r>
    <s v="ORD0198"/>
    <d v="2024-05-28T00:00:00"/>
    <x v="6"/>
    <x v="2"/>
    <s v="CUST005"/>
    <s v="PROD030"/>
    <n v="1"/>
    <n v="116.67"/>
    <s v="Product_30"/>
    <x v="1"/>
    <m/>
    <m/>
    <x v="1"/>
    <s v="customer5@email.com"/>
  </r>
  <r>
    <s v="ORD0199"/>
    <d v="2024-03-20T00:00:00"/>
    <x v="5"/>
    <x v="3"/>
    <s v="CUST086"/>
    <s v="PROD025"/>
    <n v="1"/>
    <n v="195.7"/>
    <s v="Product_25"/>
    <x v="2"/>
    <m/>
    <m/>
    <x v="1"/>
    <s v="customer86@email.com"/>
  </r>
  <r>
    <s v="ORD0200"/>
    <d v="2024-06-22T00:00:00"/>
    <x v="4"/>
    <x v="1"/>
    <s v="CUST094"/>
    <s v="PROD018"/>
    <n v="5"/>
    <n v="1135.6500000000001"/>
    <s v="Product_18"/>
    <x v="4"/>
    <m/>
    <m/>
    <x v="3"/>
    <s v="customer94@email.com"/>
  </r>
  <r>
    <s v="ORD0201"/>
    <d v="2024-04-11T00:00:00"/>
    <x v="0"/>
    <x v="5"/>
    <s v="CUST022"/>
    <s v="PROD031"/>
    <n v="4"/>
    <n v="1175.2"/>
    <s v="Product_31"/>
    <x v="4"/>
    <m/>
    <m/>
    <x v="2"/>
    <s v="customer22@email.com"/>
  </r>
  <r>
    <s v="ORD0202"/>
    <d v="2024-01-20T00:00:00"/>
    <x v="4"/>
    <x v="0"/>
    <s v="CUST046"/>
    <s v="PROD036"/>
    <n v="2"/>
    <n v="98.5"/>
    <s v="Product_36"/>
    <x v="0"/>
    <m/>
    <m/>
    <x v="3"/>
    <s v="customer46@email.com"/>
  </r>
  <r>
    <s v="ORD0203"/>
    <d v="2024-06-25T00:00:00"/>
    <x v="6"/>
    <x v="1"/>
    <s v="CUST024"/>
    <s v="PROD024"/>
    <n v="5"/>
    <n v="2261"/>
    <s v="Product_24"/>
    <x v="3"/>
    <m/>
    <m/>
    <x v="0"/>
    <s v="customer24@email.com"/>
  </r>
  <r>
    <s v="ORD0204"/>
    <d v="2024-01-27T00:00:00"/>
    <x v="4"/>
    <x v="0"/>
    <s v="CUST077"/>
    <s v="PROD025"/>
    <n v="2"/>
    <n v="391.4"/>
    <s v="Product_25"/>
    <x v="2"/>
    <m/>
    <m/>
    <x v="1"/>
    <s v="customer77@email.com"/>
  </r>
  <r>
    <s v="ORD0205"/>
    <d v="2024-06-24T00:00:00"/>
    <x v="2"/>
    <x v="1"/>
    <s v="CUST029"/>
    <s v="PROD007"/>
    <n v="3"/>
    <n v="309.89999999999998"/>
    <s v="Product_7"/>
    <x v="3"/>
    <m/>
    <m/>
    <x v="1"/>
    <s v="customer29@email.com"/>
  </r>
  <r>
    <s v="ORD0206"/>
    <d v="2024-01-31T00:00:00"/>
    <x v="5"/>
    <x v="0"/>
    <s v="CUST080"/>
    <s v="PROD014"/>
    <n v="5"/>
    <n v="659.2"/>
    <s v="Product_14"/>
    <x v="4"/>
    <m/>
    <m/>
    <x v="2"/>
    <s v="customer80@email.com"/>
  </r>
  <r>
    <s v="ORD0207"/>
    <d v="2024-01-11T00:00:00"/>
    <x v="0"/>
    <x v="0"/>
    <s v="CUST067"/>
    <s v="PROD029"/>
    <n v="5"/>
    <n v="429.25"/>
    <s v="Product_29"/>
    <x v="3"/>
    <m/>
    <m/>
    <x v="0"/>
    <s v="customer67@email.com"/>
  </r>
  <r>
    <s v="ORD0208"/>
    <d v="2024-05-16T00:00:00"/>
    <x v="0"/>
    <x v="2"/>
    <s v="CUST042"/>
    <s v="PROD008"/>
    <n v="3"/>
    <n v="998.7"/>
    <s v="Product_8"/>
    <x v="4"/>
    <m/>
    <m/>
    <x v="1"/>
    <s v="customer42@email.com"/>
  </r>
  <r>
    <s v="ORD0209"/>
    <d v="2024-06-18T00:00:00"/>
    <x v="6"/>
    <x v="1"/>
    <s v="CUST071"/>
    <s v="PROD034"/>
    <n v="4"/>
    <n v="974.52"/>
    <s v="Product_34"/>
    <x v="0"/>
    <m/>
    <m/>
    <x v="1"/>
    <s v="customer71@email.com"/>
  </r>
  <r>
    <s v="ORD0210"/>
    <d v="2024-01-18T00:00:00"/>
    <x v="0"/>
    <x v="0"/>
    <s v="CUST069"/>
    <s v="PROD018"/>
    <n v="3"/>
    <n v="681.39"/>
    <s v="Product_18"/>
    <x v="4"/>
    <m/>
    <m/>
    <x v="3"/>
    <s v="customer69@email.com"/>
  </r>
  <r>
    <s v="ORD0211"/>
    <d v="2024-06-14T00:00:00"/>
    <x v="3"/>
    <x v="1"/>
    <s v="CUST016"/>
    <s v="PROD016"/>
    <n v="5"/>
    <n v="1083.5999999999999"/>
    <s v="Product_16"/>
    <x v="2"/>
    <m/>
    <m/>
    <x v="2"/>
    <s v="customer16@email.com"/>
  </r>
  <r>
    <s v="ORD0212"/>
    <d v="2024-01-04T00:00:00"/>
    <x v="0"/>
    <x v="0"/>
    <s v="CUST048"/>
    <s v="PROD010"/>
    <n v="3"/>
    <n v="1299.8399999999999"/>
    <s v="Product_10"/>
    <x v="3"/>
    <m/>
    <m/>
    <x v="1"/>
    <s v="customer48@email.com"/>
  </r>
  <r>
    <s v="ORD0213"/>
    <d v="2024-05-05T00:00:00"/>
    <x v="1"/>
    <x v="2"/>
    <s v="CUST050"/>
    <s v="PROD011"/>
    <n v="4"/>
    <n v="1359.8"/>
    <s v="Product_11"/>
    <x v="4"/>
    <m/>
    <m/>
    <x v="1"/>
    <s v="customer50@email.com"/>
  </r>
  <r>
    <s v="ORD0214"/>
    <d v="2024-04-20T00:00:00"/>
    <x v="4"/>
    <x v="5"/>
    <s v="CUST040"/>
    <s v="PROD010"/>
    <n v="1"/>
    <n v="433.28"/>
    <s v="Product_10"/>
    <x v="3"/>
    <m/>
    <m/>
    <x v="3"/>
    <s v="customer40@email.com"/>
  </r>
  <r>
    <s v="ORD0215"/>
    <d v="2024-06-11T00:00:00"/>
    <x v="6"/>
    <x v="1"/>
    <s v="CUST085"/>
    <s v="PROD008"/>
    <n v="3"/>
    <n v="998.7"/>
    <s v="Product_8"/>
    <x v="4"/>
    <m/>
    <m/>
    <x v="0"/>
    <s v="customer85@email.com"/>
  </r>
  <r>
    <s v="ORD0216"/>
    <d v="2024-02-09T00:00:00"/>
    <x v="3"/>
    <x v="4"/>
    <s v="CUST050"/>
    <s v="PROD003"/>
    <n v="4"/>
    <n v="1351.2"/>
    <s v="Product_3"/>
    <x v="1"/>
    <m/>
    <m/>
    <x v="1"/>
    <s v="customer50@email.com"/>
  </r>
  <r>
    <s v="ORD0217"/>
    <d v="2024-02-15T00:00:00"/>
    <x v="0"/>
    <x v="4"/>
    <s v="CUST087"/>
    <s v="PROD028"/>
    <n v="4"/>
    <n v="1337.28"/>
    <s v="Product_28"/>
    <x v="0"/>
    <m/>
    <m/>
    <x v="1"/>
    <s v="customer87@email.com"/>
  </r>
  <r>
    <s v="ORD0218"/>
    <d v="2024-06-15T00:00:00"/>
    <x v="4"/>
    <x v="1"/>
    <s v="CUST078"/>
    <s v="PROD018"/>
    <n v="5"/>
    <n v="1135.6500000000001"/>
    <s v="Product_18"/>
    <x v="4"/>
    <m/>
    <m/>
    <x v="1"/>
    <s v="customer78@email.com"/>
  </r>
  <r>
    <s v="ORD0219"/>
    <d v="2024-06-06T00:00:00"/>
    <x v="0"/>
    <x v="1"/>
    <s v="CUST111"/>
    <s v="PROD036"/>
    <n v="3"/>
    <n v="147.75"/>
    <s v="Product_36"/>
    <x v="0"/>
    <m/>
    <m/>
    <x v="0"/>
    <s v="customer111@email.com"/>
  </r>
  <r>
    <s v="ORD0220"/>
    <d v="2024-05-03T00:00:00"/>
    <x v="3"/>
    <x v="2"/>
    <s v="CUST067"/>
    <s v="PROD018"/>
    <n v="5"/>
    <n v="1135.6500000000001"/>
    <s v="Product_18"/>
    <x v="4"/>
    <m/>
    <m/>
    <x v="0"/>
    <s v="customer67@email.com"/>
  </r>
  <r>
    <s v="ORD0221"/>
    <d v="2024-04-21T00:00:00"/>
    <x v="1"/>
    <x v="5"/>
    <s v="CUST044"/>
    <s v="PROD018"/>
    <n v="4"/>
    <n v="908.52"/>
    <s v="Product_18"/>
    <x v="4"/>
    <m/>
    <m/>
    <x v="1"/>
    <s v="customer44@email.com"/>
  </r>
  <r>
    <s v="ORD0222"/>
    <d v="2024-03-09T00:00:00"/>
    <x v="4"/>
    <x v="3"/>
    <s v="CUST023"/>
    <s v="PROD019"/>
    <n v="5"/>
    <n v="289.89999999999998"/>
    <s v="Product_19"/>
    <x v="0"/>
    <m/>
    <m/>
    <x v="2"/>
    <s v="customer23@email.com"/>
  </r>
  <r>
    <s v="ORD0223"/>
    <d v="2024-03-03T00:00:00"/>
    <x v="1"/>
    <x v="3"/>
    <s v="CUST074"/>
    <s v="PROD018"/>
    <n v="3"/>
    <n v="681.39"/>
    <s v="Product_18"/>
    <x v="4"/>
    <m/>
    <m/>
    <x v="0"/>
    <s v="customer74@email.com"/>
  </r>
  <r>
    <s v="ORD0224"/>
    <d v="2024-03-12T00:00:00"/>
    <x v="6"/>
    <x v="3"/>
    <s v="CUST059"/>
    <s v="PROD026"/>
    <n v="1"/>
    <n v="139.94999999999999"/>
    <s v="Product_26"/>
    <x v="3"/>
    <m/>
    <m/>
    <x v="3"/>
    <s v="customer59@email.com"/>
  </r>
  <r>
    <s v="ORD0225"/>
    <d v="2024-03-03T00:00:00"/>
    <x v="1"/>
    <x v="3"/>
    <s v="CUST005"/>
    <s v="PROD031"/>
    <n v="4"/>
    <n v="1175.2"/>
    <s v="Product_31"/>
    <x v="4"/>
    <m/>
    <m/>
    <x v="1"/>
    <s v="customer5@email.com"/>
  </r>
  <r>
    <s v="ORD0226"/>
    <d v="2024-05-25T00:00:00"/>
    <x v="4"/>
    <x v="2"/>
    <s v="CUST021"/>
    <s v="PROD039"/>
    <n v="4"/>
    <n v="831.4"/>
    <s v="Product_39"/>
    <x v="2"/>
    <m/>
    <m/>
    <x v="3"/>
    <s v="customer21@email.com"/>
  </r>
  <r>
    <s v="ORD0227"/>
    <d v="2024-06-20T00:00:00"/>
    <x v="0"/>
    <x v="1"/>
    <s v="CUST030"/>
    <s v="PROD016"/>
    <n v="5"/>
    <n v="1083.5999999999999"/>
    <s v="Product_16"/>
    <x v="2"/>
    <m/>
    <m/>
    <x v="2"/>
    <s v="customer30@email.com"/>
  </r>
  <r>
    <s v="ORD0228"/>
    <d v="2024-03-27T00:00:00"/>
    <x v="5"/>
    <x v="3"/>
    <s v="CUST085"/>
    <s v="PROD003"/>
    <n v="4"/>
    <n v="1351.2"/>
    <s v="Product_3"/>
    <x v="1"/>
    <m/>
    <m/>
    <x v="0"/>
    <s v="customer85@email.com"/>
  </r>
  <r>
    <s v="ORD0229"/>
    <d v="2024-05-06T00:00:00"/>
    <x v="2"/>
    <x v="2"/>
    <s v="CUST051"/>
    <s v="PROD029"/>
    <n v="1"/>
    <n v="85.85"/>
    <s v="Product_29"/>
    <x v="3"/>
    <m/>
    <m/>
    <x v="3"/>
    <s v="customer51@email.com"/>
  </r>
  <r>
    <s v="ORD0230"/>
    <d v="2024-02-16T00:00:00"/>
    <x v="3"/>
    <x v="4"/>
    <s v="CUST039"/>
    <s v="PROD035"/>
    <n v="3"/>
    <n v="261.42"/>
    <s v="Product_35"/>
    <x v="0"/>
    <m/>
    <m/>
    <x v="2"/>
    <s v="customer39@email.com"/>
  </r>
  <r>
    <s v="ORD0231"/>
    <d v="2024-02-24T00:00:00"/>
    <x v="4"/>
    <x v="4"/>
    <s v="CUST015"/>
    <s v="PROD014"/>
    <n v="4"/>
    <n v="527.36"/>
    <s v="Product_14"/>
    <x v="4"/>
    <m/>
    <m/>
    <x v="2"/>
    <s v="customer15@email.com"/>
  </r>
  <r>
    <s v="ORD0232"/>
    <d v="2024-03-07T00:00:00"/>
    <x v="0"/>
    <x v="3"/>
    <s v="CUST039"/>
    <s v="PROD012"/>
    <n v="3"/>
    <n v="119.1"/>
    <s v="Product_12"/>
    <x v="4"/>
    <m/>
    <m/>
    <x v="2"/>
    <s v="customer39@email.com"/>
  </r>
  <r>
    <s v="ORD0233"/>
    <d v="2024-03-12T00:00:00"/>
    <x v="6"/>
    <x v="3"/>
    <s v="CUST101"/>
    <s v="PROD037"/>
    <n v="3"/>
    <n v="130.74"/>
    <s v="Product_37"/>
    <x v="2"/>
    <m/>
    <m/>
    <x v="1"/>
    <s v="customer101@email.com"/>
  </r>
  <r>
    <s v="ORD0234"/>
    <d v="2024-06-28T00:00:00"/>
    <x v="3"/>
    <x v="1"/>
    <s v="CUST031"/>
    <s v="PROD015"/>
    <n v="5"/>
    <n v="1363.9"/>
    <s v="Product_15"/>
    <x v="2"/>
    <m/>
    <m/>
    <x v="3"/>
    <s v="customer31@email.com"/>
  </r>
  <r>
    <s v="ORD0235"/>
    <d v="2024-05-22T00:00:00"/>
    <x v="5"/>
    <x v="2"/>
    <s v="CUST103"/>
    <s v="PROD015"/>
    <n v="3"/>
    <n v="818.34"/>
    <s v="Product_15"/>
    <x v="2"/>
    <m/>
    <m/>
    <x v="2"/>
    <s v="customer103@email.com"/>
  </r>
  <r>
    <s v="ORD0236"/>
    <d v="2024-05-12T00:00:00"/>
    <x v="1"/>
    <x v="2"/>
    <s v="CUST070"/>
    <s v="PROD006"/>
    <n v="1"/>
    <n v="394.46"/>
    <s v="Product_6"/>
    <x v="2"/>
    <m/>
    <m/>
    <x v="1"/>
    <s v="customer70@email.com"/>
  </r>
  <r>
    <s v="ORD0237"/>
    <d v="2024-01-22T00:00:00"/>
    <x v="2"/>
    <x v="0"/>
    <s v="CUST045"/>
    <s v="PROD039"/>
    <n v="2"/>
    <n v="415.7"/>
    <s v="Product_39"/>
    <x v="2"/>
    <m/>
    <m/>
    <x v="0"/>
    <s v="customer45@email.com"/>
  </r>
  <r>
    <s v="ORD0238"/>
    <d v="2024-04-14T00:00:00"/>
    <x v="1"/>
    <x v="5"/>
    <s v="CUST091"/>
    <s v="PROD031"/>
    <n v="2"/>
    <n v="587.6"/>
    <s v="Product_31"/>
    <x v="4"/>
    <m/>
    <m/>
    <x v="0"/>
    <s v="customer91@email.com"/>
  </r>
  <r>
    <s v="ORD0239"/>
    <d v="2024-05-22T00:00:00"/>
    <x v="5"/>
    <x v="2"/>
    <s v="CUST109"/>
    <s v="PROD033"/>
    <n v="4"/>
    <n v="152.04"/>
    <s v="Product_33"/>
    <x v="1"/>
    <m/>
    <m/>
    <x v="1"/>
    <s v="customer109@email.com"/>
  </r>
  <r>
    <s v="ORD0240"/>
    <d v="2024-06-25T00:00:00"/>
    <x v="6"/>
    <x v="1"/>
    <s v="CUST008"/>
    <s v="PROD023"/>
    <n v="2"/>
    <n v="491.74"/>
    <s v="Product_23"/>
    <x v="3"/>
    <m/>
    <m/>
    <x v="3"/>
    <s v="customer8@email.com"/>
  </r>
  <r>
    <s v="ORD0241"/>
    <d v="2024-06-14T00:00:00"/>
    <x v="3"/>
    <x v="1"/>
    <s v="CUST117"/>
    <s v="PROD003"/>
    <n v="4"/>
    <n v="1351.2"/>
    <s v="Product_3"/>
    <x v="1"/>
    <m/>
    <m/>
    <x v="3"/>
    <s v="customer117@email.com"/>
  </r>
  <r>
    <s v="ORD0242"/>
    <d v="2024-04-24T00:00:00"/>
    <x v="5"/>
    <x v="5"/>
    <s v="CUST119"/>
    <s v="PROD007"/>
    <n v="4"/>
    <n v="413.2"/>
    <s v="Product_7"/>
    <x v="3"/>
    <m/>
    <m/>
    <x v="1"/>
    <s v="customer119@email.com"/>
  </r>
  <r>
    <s v="ORD0243"/>
    <d v="2024-01-24T00:00:00"/>
    <x v="5"/>
    <x v="0"/>
    <s v="CUST053"/>
    <s v="PROD026"/>
    <n v="1"/>
    <n v="139.94999999999999"/>
    <s v="Product_26"/>
    <x v="3"/>
    <m/>
    <m/>
    <x v="2"/>
    <s v="customer53@email.com"/>
  </r>
  <r>
    <s v="ORD0244"/>
    <d v="2024-02-26T00:00:00"/>
    <x v="2"/>
    <x v="4"/>
    <s v="CUST068"/>
    <s v="PROD030"/>
    <n v="3"/>
    <n v="350.01"/>
    <s v="Product_30"/>
    <x v="1"/>
    <m/>
    <m/>
    <x v="3"/>
    <s v="customer68@email.com"/>
  </r>
  <r>
    <s v="ORD0245"/>
    <d v="2024-06-26T00:00:00"/>
    <x v="5"/>
    <x v="1"/>
    <s v="CUST095"/>
    <s v="PROD025"/>
    <n v="4"/>
    <n v="782.8"/>
    <s v="Product_25"/>
    <x v="2"/>
    <m/>
    <m/>
    <x v="2"/>
    <s v="customer95@email.com"/>
  </r>
  <r>
    <s v="ORD0246"/>
    <d v="2024-03-19T00:00:00"/>
    <x v="6"/>
    <x v="3"/>
    <s v="CUST047"/>
    <s v="PROD029"/>
    <n v="2"/>
    <n v="171.7"/>
    <s v="Product_29"/>
    <x v="3"/>
    <m/>
    <m/>
    <x v="2"/>
    <s v="customer47@email.com"/>
  </r>
  <r>
    <s v="ORD0247"/>
    <d v="2024-04-04T00:00:00"/>
    <x v="0"/>
    <x v="5"/>
    <s v="CUST067"/>
    <s v="PROD004"/>
    <n v="5"/>
    <n v="1371.1"/>
    <s v="Product_4"/>
    <x v="2"/>
    <m/>
    <m/>
    <x v="0"/>
    <s v="customer67@email.com"/>
  </r>
  <r>
    <s v="ORD0248"/>
    <d v="2024-05-21T00:00:00"/>
    <x v="6"/>
    <x v="2"/>
    <s v="CUST022"/>
    <s v="PROD017"/>
    <n v="4"/>
    <n v="946.76"/>
    <s v="Product_17"/>
    <x v="1"/>
    <m/>
    <m/>
    <x v="2"/>
    <s v="customer22@email.com"/>
  </r>
  <r>
    <s v="ORD0249"/>
    <d v="2024-03-29T00:00:00"/>
    <x v="3"/>
    <x v="3"/>
    <s v="CUST002"/>
    <s v="PROD040"/>
    <n v="5"/>
    <n v="653.25"/>
    <s v="Product_40"/>
    <x v="0"/>
    <m/>
    <m/>
    <x v="3"/>
    <s v="customer2@email.com"/>
  </r>
  <r>
    <s v="ORD0250"/>
    <d v="2024-05-20T00:00:00"/>
    <x v="2"/>
    <x v="2"/>
    <s v="CUST018"/>
    <s v="PROD034"/>
    <n v="4"/>
    <n v="974.52"/>
    <s v="Product_34"/>
    <x v="0"/>
    <m/>
    <m/>
    <x v="2"/>
    <s v="customer18@email.com"/>
  </r>
  <r>
    <s v="ORD0251"/>
    <d v="2024-03-31T00:00:00"/>
    <x v="1"/>
    <x v="3"/>
    <s v="CUST079"/>
    <s v="PROD034"/>
    <n v="3"/>
    <n v="730.89"/>
    <s v="Product_34"/>
    <x v="0"/>
    <m/>
    <m/>
    <x v="2"/>
    <s v="customer79@email.com"/>
  </r>
  <r>
    <s v="ORD0252"/>
    <d v="2024-03-10T00:00:00"/>
    <x v="1"/>
    <x v="3"/>
    <s v="CUST001"/>
    <s v="PROD019"/>
    <n v="4"/>
    <n v="231.92"/>
    <s v="Product_19"/>
    <x v="0"/>
    <m/>
    <m/>
    <x v="1"/>
    <s v="customer1@email.com"/>
  </r>
  <r>
    <s v="ORD0253"/>
    <d v="2024-03-05T00:00:00"/>
    <x v="6"/>
    <x v="3"/>
    <s v="CUST073"/>
    <s v="PROD014"/>
    <n v="3"/>
    <n v="395.52"/>
    <s v="Product_14"/>
    <x v="4"/>
    <m/>
    <m/>
    <x v="2"/>
    <s v="customer73@email.com"/>
  </r>
  <r>
    <s v="ORD0254"/>
    <d v="2024-01-31T00:00:00"/>
    <x v="5"/>
    <x v="0"/>
    <s v="CUST104"/>
    <s v="PROD037"/>
    <n v="2"/>
    <n v="87.16"/>
    <s v="Product_37"/>
    <x v="2"/>
    <m/>
    <m/>
    <x v="0"/>
    <s v="customer104@email.com"/>
  </r>
  <r>
    <s v="ORD0255"/>
    <d v="2024-03-21T00:00:00"/>
    <x v="0"/>
    <x v="3"/>
    <s v="CUST070"/>
    <s v="PROD023"/>
    <n v="2"/>
    <n v="491.74"/>
    <s v="Product_23"/>
    <x v="3"/>
    <m/>
    <m/>
    <x v="1"/>
    <s v="customer70@email.com"/>
  </r>
  <r>
    <s v="ORD0256"/>
    <d v="2024-05-17T00:00:00"/>
    <x v="3"/>
    <x v="2"/>
    <s v="CUST023"/>
    <s v="PROD037"/>
    <n v="1"/>
    <n v="43.58"/>
    <s v="Product_37"/>
    <x v="2"/>
    <m/>
    <m/>
    <x v="2"/>
    <s v="customer23@email.com"/>
  </r>
  <r>
    <s v="ORD0257"/>
    <d v="2024-02-19T00:00:00"/>
    <x v="2"/>
    <x v="4"/>
    <s v="CUST118"/>
    <s v="PROD003"/>
    <n v="2"/>
    <n v="675.6"/>
    <s v="Product_3"/>
    <x v="1"/>
    <m/>
    <m/>
    <x v="3"/>
    <s v="customer118@email.com"/>
  </r>
  <r>
    <s v="ORD0258"/>
    <d v="2024-05-03T00:00:00"/>
    <x v="3"/>
    <x v="2"/>
    <s v="CUST004"/>
    <s v="PROD030"/>
    <n v="2"/>
    <n v="233.34"/>
    <s v="Product_30"/>
    <x v="1"/>
    <m/>
    <m/>
    <x v="3"/>
    <s v="customer4@email.com"/>
  </r>
  <r>
    <s v="ORD0259"/>
    <d v="2024-05-30T00:00:00"/>
    <x v="0"/>
    <x v="2"/>
    <s v="CUST023"/>
    <s v="PROD008"/>
    <n v="3"/>
    <n v="998.7"/>
    <s v="Product_8"/>
    <x v="4"/>
    <m/>
    <m/>
    <x v="2"/>
    <s v="customer23@email.com"/>
  </r>
  <r>
    <s v="ORD0260"/>
    <d v="2024-06-01T00:00:00"/>
    <x v="4"/>
    <x v="1"/>
    <s v="CUST002"/>
    <s v="PROD012"/>
    <n v="5"/>
    <n v="198.5"/>
    <s v="Product_12"/>
    <x v="4"/>
    <m/>
    <m/>
    <x v="3"/>
    <s v="customer2@email.com"/>
  </r>
  <r>
    <s v="ORD0261"/>
    <d v="2024-01-26T00:00:00"/>
    <x v="3"/>
    <x v="0"/>
    <s v="CUST051"/>
    <s v="PROD039"/>
    <n v="3"/>
    <n v="623.54999999999995"/>
    <s v="Product_39"/>
    <x v="2"/>
    <m/>
    <m/>
    <x v="3"/>
    <s v="customer51@email.com"/>
  </r>
  <r>
    <s v="ORD0262"/>
    <d v="2024-03-16T00:00:00"/>
    <x v="4"/>
    <x v="3"/>
    <s v="CUST015"/>
    <s v="PROD025"/>
    <n v="2"/>
    <n v="391.4"/>
    <s v="Product_25"/>
    <x v="2"/>
    <m/>
    <m/>
    <x v="2"/>
    <s v="customer15@email.com"/>
  </r>
  <r>
    <s v="ORD0263"/>
    <d v="2024-04-02T00:00:00"/>
    <x v="6"/>
    <x v="5"/>
    <s v="CUST045"/>
    <s v="PROD014"/>
    <n v="2"/>
    <n v="263.68"/>
    <s v="Product_14"/>
    <x v="4"/>
    <m/>
    <m/>
    <x v="0"/>
    <s v="customer45@email.com"/>
  </r>
  <r>
    <s v="ORD0264"/>
    <d v="2024-03-18T00:00:00"/>
    <x v="2"/>
    <x v="3"/>
    <s v="CUST016"/>
    <s v="PROD040"/>
    <n v="2"/>
    <n v="261.3"/>
    <s v="Product_40"/>
    <x v="0"/>
    <m/>
    <m/>
    <x v="2"/>
    <s v="customer16@email.com"/>
  </r>
  <r>
    <s v="ORD0265"/>
    <d v="2024-05-16T00:00:00"/>
    <x v="0"/>
    <x v="2"/>
    <s v="CUST027"/>
    <s v="PROD027"/>
    <n v="1"/>
    <n v="149.77000000000001"/>
    <s v="Product_27"/>
    <x v="3"/>
    <m/>
    <m/>
    <x v="2"/>
    <s v="customer27@email.com"/>
  </r>
  <r>
    <s v="ORD0266"/>
    <d v="2024-03-11T00:00:00"/>
    <x v="2"/>
    <x v="3"/>
    <s v="CUST002"/>
    <s v="PROD030"/>
    <n v="2"/>
    <n v="233.34"/>
    <s v="Product_30"/>
    <x v="1"/>
    <m/>
    <m/>
    <x v="3"/>
    <s v="customer2@email.com"/>
  </r>
  <r>
    <s v="ORD0267"/>
    <d v="2024-01-14T00:00:00"/>
    <x v="1"/>
    <x v="0"/>
    <s v="CUST046"/>
    <s v="PROD010"/>
    <n v="1"/>
    <n v="433.28"/>
    <s v="Product_10"/>
    <x v="3"/>
    <m/>
    <m/>
    <x v="3"/>
    <s v="customer46@email.com"/>
  </r>
  <r>
    <s v="ORD0268"/>
    <d v="2024-03-15T00:00:00"/>
    <x v="3"/>
    <x v="3"/>
    <s v="CUST100"/>
    <s v="PROD030"/>
    <n v="5"/>
    <n v="583.35"/>
    <s v="Product_30"/>
    <x v="1"/>
    <m/>
    <m/>
    <x v="3"/>
    <s v="customer100@email.com"/>
  </r>
  <r>
    <s v="ORD0269"/>
    <d v="2024-06-12T00:00:00"/>
    <x v="5"/>
    <x v="1"/>
    <s v="CUST033"/>
    <s v="PROD025"/>
    <n v="2"/>
    <n v="391.4"/>
    <s v="Product_25"/>
    <x v="2"/>
    <m/>
    <m/>
    <x v="1"/>
    <s v="customer33@email.com"/>
  </r>
  <r>
    <s v="ORD0270"/>
    <d v="2024-01-27T00:00:00"/>
    <x v="4"/>
    <x v="0"/>
    <s v="CUST097"/>
    <s v="PROD038"/>
    <n v="4"/>
    <n v="1363.4"/>
    <s v="Product_38"/>
    <x v="4"/>
    <m/>
    <m/>
    <x v="0"/>
    <s v="customer97@email.com"/>
  </r>
  <r>
    <s v="ORD0271"/>
    <d v="2024-05-26T00:00:00"/>
    <x v="1"/>
    <x v="2"/>
    <s v="CUST110"/>
    <s v="PROD022"/>
    <n v="1"/>
    <n v="91.49"/>
    <s v="Product_22"/>
    <x v="2"/>
    <m/>
    <m/>
    <x v="2"/>
    <s v="customer110@email.com"/>
  </r>
  <r>
    <s v="ORD0272"/>
    <d v="2024-04-30T00:00:00"/>
    <x v="6"/>
    <x v="5"/>
    <s v="CUST047"/>
    <s v="PROD021"/>
    <n v="3"/>
    <n v="1391.76"/>
    <s v="Product_21"/>
    <x v="4"/>
    <m/>
    <m/>
    <x v="2"/>
    <s v="customer47@email.com"/>
  </r>
  <r>
    <s v="ORD0273"/>
    <d v="2024-04-22T00:00:00"/>
    <x v="2"/>
    <x v="5"/>
    <s v="CUST003"/>
    <s v="PROD018"/>
    <n v="4"/>
    <n v="908.52"/>
    <s v="Product_18"/>
    <x v="4"/>
    <m/>
    <m/>
    <x v="3"/>
    <s v="customer3@email.com"/>
  </r>
  <r>
    <s v="ORD0274"/>
    <d v="2024-02-17T00:00:00"/>
    <x v="4"/>
    <x v="4"/>
    <s v="CUST093"/>
    <s v="PROD030"/>
    <n v="3"/>
    <n v="350.01"/>
    <s v="Product_30"/>
    <x v="1"/>
    <m/>
    <m/>
    <x v="2"/>
    <s v="customer93@email.com"/>
  </r>
  <r>
    <s v="ORD0275"/>
    <d v="2024-03-05T00:00:00"/>
    <x v="6"/>
    <x v="3"/>
    <s v="CUST069"/>
    <s v="PROD015"/>
    <n v="1"/>
    <n v="272.77999999999997"/>
    <s v="Product_15"/>
    <x v="2"/>
    <m/>
    <m/>
    <x v="3"/>
    <s v="customer69@email.com"/>
  </r>
  <r>
    <s v="ORD0276"/>
    <d v="2024-01-30T00:00:00"/>
    <x v="6"/>
    <x v="0"/>
    <s v="CUST015"/>
    <s v="PROD006"/>
    <n v="4"/>
    <n v="1577.84"/>
    <s v="Product_6"/>
    <x v="2"/>
    <m/>
    <m/>
    <x v="2"/>
    <s v="customer15@email.com"/>
  </r>
  <r>
    <s v="ORD0277"/>
    <d v="2024-04-12T00:00:00"/>
    <x v="3"/>
    <x v="5"/>
    <s v="CUST054"/>
    <s v="PROD034"/>
    <n v="1"/>
    <n v="243.63"/>
    <s v="Product_34"/>
    <x v="0"/>
    <m/>
    <m/>
    <x v="3"/>
    <s v="customer54@email.com"/>
  </r>
  <r>
    <s v="ORD0278"/>
    <d v="2024-01-19T00:00:00"/>
    <x v="3"/>
    <x v="0"/>
    <s v="CUST114"/>
    <s v="PROD013"/>
    <n v="4"/>
    <n v="1609.16"/>
    <s v="Product_13"/>
    <x v="1"/>
    <m/>
    <m/>
    <x v="2"/>
    <s v="customer114@email.com"/>
  </r>
  <r>
    <s v="ORD0279"/>
    <d v="2024-06-10T00:00:00"/>
    <x v="2"/>
    <x v="1"/>
    <s v="CUST097"/>
    <s v="PROD023"/>
    <n v="5"/>
    <n v="1229.3499999999999"/>
    <s v="Product_23"/>
    <x v="3"/>
    <m/>
    <m/>
    <x v="0"/>
    <s v="customer97@email.com"/>
  </r>
  <r>
    <s v="ORD0280"/>
    <d v="2024-02-08T00:00:00"/>
    <x v="0"/>
    <x v="4"/>
    <s v="CUST003"/>
    <s v="PROD007"/>
    <n v="1"/>
    <n v="103.3"/>
    <s v="Product_7"/>
    <x v="3"/>
    <m/>
    <m/>
    <x v="3"/>
    <s v="customer3@email.com"/>
  </r>
  <r>
    <s v="ORD0281"/>
    <d v="2024-05-24T00:00:00"/>
    <x v="3"/>
    <x v="2"/>
    <s v="CUST108"/>
    <s v="PROD019"/>
    <n v="2"/>
    <n v="115.96"/>
    <s v="Product_19"/>
    <x v="0"/>
    <m/>
    <m/>
    <x v="2"/>
    <s v="customer108@email.com"/>
  </r>
  <r>
    <s v="ORD0282"/>
    <d v="2024-01-22T00:00:00"/>
    <x v="2"/>
    <x v="0"/>
    <s v="CUST059"/>
    <s v="PROD019"/>
    <n v="3"/>
    <n v="173.94"/>
    <s v="Product_19"/>
    <x v="0"/>
    <m/>
    <m/>
    <x v="3"/>
    <s v="customer59@email.com"/>
  </r>
  <r>
    <s v="ORD0283"/>
    <d v="2024-01-31T00:00:00"/>
    <x v="5"/>
    <x v="0"/>
    <s v="CUST055"/>
    <s v="PROD039"/>
    <n v="2"/>
    <n v="415.7"/>
    <s v="Product_39"/>
    <x v="2"/>
    <m/>
    <m/>
    <x v="0"/>
    <s v="customer55@email.com"/>
  </r>
  <r>
    <s v="ORD0284"/>
    <d v="2024-04-16T00:00:00"/>
    <x v="6"/>
    <x v="5"/>
    <s v="CUST117"/>
    <s v="PROD034"/>
    <n v="5"/>
    <n v="1218.1500000000001"/>
    <s v="Product_34"/>
    <x v="0"/>
    <m/>
    <m/>
    <x v="3"/>
    <s v="customer117@email.com"/>
  </r>
  <r>
    <s v="ORD0285"/>
    <d v="2024-06-01T00:00:00"/>
    <x v="4"/>
    <x v="1"/>
    <s v="CUST017"/>
    <s v="PROD038"/>
    <n v="5"/>
    <n v="1704.25"/>
    <s v="Product_38"/>
    <x v="4"/>
    <m/>
    <m/>
    <x v="3"/>
    <s v="customer17@email.com"/>
  </r>
  <r>
    <s v="ORD0286"/>
    <d v="2024-02-27T00:00:00"/>
    <x v="6"/>
    <x v="4"/>
    <s v="CUST099"/>
    <s v="PROD038"/>
    <n v="5"/>
    <n v="1704.25"/>
    <s v="Product_38"/>
    <x v="4"/>
    <m/>
    <m/>
    <x v="3"/>
    <s v="customer99@email.com"/>
  </r>
  <r>
    <s v="ORD0287"/>
    <d v="2024-04-07T00:00:00"/>
    <x v="1"/>
    <x v="5"/>
    <s v="CUST025"/>
    <s v="PROD002"/>
    <n v="5"/>
    <n v="1309.7"/>
    <s v="Product_2"/>
    <x v="4"/>
    <m/>
    <m/>
    <x v="3"/>
    <s v="customer25@email.com"/>
  </r>
  <r>
    <s v="ORD0288"/>
    <d v="2024-04-23T00:00:00"/>
    <x v="6"/>
    <x v="5"/>
    <s v="CUST080"/>
    <s v="PROD031"/>
    <n v="4"/>
    <n v="1175.2"/>
    <s v="Product_31"/>
    <x v="4"/>
    <m/>
    <m/>
    <x v="2"/>
    <s v="customer80@email.com"/>
  </r>
  <r>
    <s v="ORD0289"/>
    <d v="2024-05-30T00:00:00"/>
    <x v="0"/>
    <x v="2"/>
    <s v="CUST110"/>
    <s v="PROD028"/>
    <n v="3"/>
    <n v="1002.96"/>
    <s v="Product_28"/>
    <x v="0"/>
    <m/>
    <m/>
    <x v="2"/>
    <s v="customer110@email.com"/>
  </r>
  <r>
    <s v="ORD0290"/>
    <d v="2024-03-19T00:00:00"/>
    <x v="6"/>
    <x v="3"/>
    <s v="CUST029"/>
    <s v="PROD013"/>
    <n v="4"/>
    <n v="1609.16"/>
    <s v="Product_13"/>
    <x v="1"/>
    <m/>
    <m/>
    <x v="1"/>
    <s v="customer29@email.com"/>
  </r>
  <r>
    <s v="ORD0291"/>
    <d v="2024-06-07T00:00:00"/>
    <x v="3"/>
    <x v="1"/>
    <s v="CUST094"/>
    <s v="PROD012"/>
    <n v="5"/>
    <n v="198.5"/>
    <s v="Product_12"/>
    <x v="4"/>
    <m/>
    <m/>
    <x v="3"/>
    <s v="customer94@email.com"/>
  </r>
  <r>
    <s v="ORD0292"/>
    <d v="2024-06-05T00:00:00"/>
    <x v="5"/>
    <x v="1"/>
    <s v="CUST035"/>
    <s v="PROD011"/>
    <n v="1"/>
    <n v="339.95"/>
    <s v="Product_11"/>
    <x v="4"/>
    <m/>
    <m/>
    <x v="3"/>
    <s v="customer35@email.com"/>
  </r>
  <r>
    <s v="ORD0293"/>
    <d v="2024-02-23T00:00:00"/>
    <x v="3"/>
    <x v="4"/>
    <s v="CUST090"/>
    <s v="PROD024"/>
    <n v="1"/>
    <n v="452.2"/>
    <s v="Product_24"/>
    <x v="3"/>
    <m/>
    <m/>
    <x v="3"/>
    <s v="customer90@email.com"/>
  </r>
  <r>
    <s v="ORD0294"/>
    <d v="2024-03-08T00:00:00"/>
    <x v="3"/>
    <x v="3"/>
    <s v="CUST074"/>
    <s v="PROD032"/>
    <n v="2"/>
    <n v="79.739999999999995"/>
    <s v="Product_32"/>
    <x v="0"/>
    <m/>
    <m/>
    <x v="0"/>
    <s v="customer74@email.com"/>
  </r>
  <r>
    <s v="ORD0295"/>
    <d v="2024-02-10T00:00:00"/>
    <x v="4"/>
    <x v="4"/>
    <s v="CUST034"/>
    <s v="PROD008"/>
    <n v="1"/>
    <n v="332.9"/>
    <s v="Product_8"/>
    <x v="4"/>
    <m/>
    <m/>
    <x v="2"/>
    <s v="customer34@email.com"/>
  </r>
  <r>
    <s v="ORD0296"/>
    <d v="2024-02-14T00:00:00"/>
    <x v="5"/>
    <x v="4"/>
    <s v="CUST047"/>
    <s v="PROD037"/>
    <n v="2"/>
    <n v="87.16"/>
    <s v="Product_37"/>
    <x v="2"/>
    <m/>
    <m/>
    <x v="2"/>
    <s v="customer47@email.com"/>
  </r>
  <r>
    <s v="ORD0297"/>
    <d v="2024-01-20T00:00:00"/>
    <x v="4"/>
    <x v="0"/>
    <s v="CUST022"/>
    <s v="PROD031"/>
    <n v="5"/>
    <n v="1469"/>
    <s v="Product_31"/>
    <x v="4"/>
    <m/>
    <m/>
    <x v="2"/>
    <s v="customer22@email.com"/>
  </r>
  <r>
    <s v="ORD0298"/>
    <d v="2024-01-01T00:00:00"/>
    <x v="2"/>
    <x v="0"/>
    <s v="CUST036"/>
    <s v="PROD024"/>
    <n v="2"/>
    <n v="904.4"/>
    <s v="Product_24"/>
    <x v="3"/>
    <m/>
    <m/>
    <x v="2"/>
    <s v="customer36@email.com"/>
  </r>
  <r>
    <s v="ORD0299"/>
    <d v="2024-04-25T00:00:00"/>
    <x v="0"/>
    <x v="5"/>
    <s v="CUST005"/>
    <s v="PROD026"/>
    <n v="4"/>
    <n v="559.79999999999995"/>
    <s v="Product_26"/>
    <x v="3"/>
    <m/>
    <m/>
    <x v="1"/>
    <s v="customer5@email.com"/>
  </r>
  <r>
    <s v="ORD0300"/>
    <d v="2024-04-30T00:00:00"/>
    <x v="6"/>
    <x v="5"/>
    <s v="CUST049"/>
    <s v="PROD017"/>
    <n v="5"/>
    <n v="1183.45"/>
    <s v="Product_17"/>
    <x v="1"/>
    <m/>
    <m/>
    <x v="0"/>
    <s v="customer49@email.com"/>
  </r>
  <r>
    <s v="ORD0301"/>
    <d v="2024-01-09T00:00:00"/>
    <x v="6"/>
    <x v="0"/>
    <s v="CUST097"/>
    <s v="PROD005"/>
    <n v="3"/>
    <n v="877.02"/>
    <s v="Product_5"/>
    <x v="0"/>
    <m/>
    <m/>
    <x v="0"/>
    <s v="customer97@email.com"/>
  </r>
  <r>
    <s v="ORD0302"/>
    <d v="2024-03-14T00:00:00"/>
    <x v="0"/>
    <x v="3"/>
    <s v="CUST009"/>
    <s v="PROD021"/>
    <n v="2"/>
    <n v="927.84"/>
    <s v="Product_21"/>
    <x v="4"/>
    <m/>
    <m/>
    <x v="3"/>
    <s v="customer9@email.com"/>
  </r>
  <r>
    <s v="ORD0303"/>
    <d v="2024-06-28T00:00:00"/>
    <x v="3"/>
    <x v="1"/>
    <s v="CUST102"/>
    <s v="PROD008"/>
    <n v="3"/>
    <n v="998.7"/>
    <s v="Product_8"/>
    <x v="4"/>
    <m/>
    <m/>
    <x v="0"/>
    <s v="customer102@email.com"/>
  </r>
  <r>
    <s v="ORD0304"/>
    <d v="2024-01-19T00:00:00"/>
    <x v="3"/>
    <x v="0"/>
    <s v="CUST069"/>
    <s v="PROD018"/>
    <n v="4"/>
    <n v="908.52"/>
    <s v="Product_18"/>
    <x v="4"/>
    <m/>
    <m/>
    <x v="3"/>
    <s v="customer69@email.com"/>
  </r>
  <r>
    <s v="ORD0305"/>
    <d v="2024-03-08T00:00:00"/>
    <x v="3"/>
    <x v="3"/>
    <s v="CUST095"/>
    <s v="PROD027"/>
    <n v="2"/>
    <n v="299.54000000000002"/>
    <s v="Product_27"/>
    <x v="3"/>
    <m/>
    <m/>
    <x v="2"/>
    <s v="customer95@email.com"/>
  </r>
  <r>
    <s v="ORD0306"/>
    <d v="2024-06-18T00:00:00"/>
    <x v="6"/>
    <x v="1"/>
    <s v="CUST017"/>
    <s v="PROD022"/>
    <n v="5"/>
    <n v="457.45"/>
    <s v="Product_22"/>
    <x v="2"/>
    <m/>
    <m/>
    <x v="3"/>
    <s v="customer17@email.com"/>
  </r>
  <r>
    <s v="ORD0307"/>
    <d v="2024-04-18T00:00:00"/>
    <x v="0"/>
    <x v="5"/>
    <s v="CUST012"/>
    <s v="PROD011"/>
    <n v="2"/>
    <n v="679.9"/>
    <s v="Product_11"/>
    <x v="4"/>
    <m/>
    <m/>
    <x v="3"/>
    <s v="customer12@email.com"/>
  </r>
  <r>
    <s v="ORD0308"/>
    <d v="2024-05-19T00:00:00"/>
    <x v="1"/>
    <x v="2"/>
    <s v="CUST013"/>
    <s v="PROD021"/>
    <n v="1"/>
    <n v="463.92"/>
    <s v="Product_21"/>
    <x v="4"/>
    <m/>
    <m/>
    <x v="1"/>
    <s v="customer13@email.com"/>
  </r>
  <r>
    <s v="ORD0309"/>
    <d v="2024-06-14T00:00:00"/>
    <x v="3"/>
    <x v="1"/>
    <s v="CUST104"/>
    <s v="PROD018"/>
    <n v="2"/>
    <n v="454.26"/>
    <s v="Product_18"/>
    <x v="4"/>
    <m/>
    <m/>
    <x v="0"/>
    <s v="customer104@email.com"/>
  </r>
  <r>
    <s v="ORD0310"/>
    <d v="2024-03-09T00:00:00"/>
    <x v="4"/>
    <x v="3"/>
    <s v="CUST102"/>
    <s v="PROD016"/>
    <n v="2"/>
    <n v="433.44"/>
    <s v="Product_16"/>
    <x v="2"/>
    <m/>
    <m/>
    <x v="0"/>
    <s v="customer102@email.com"/>
  </r>
  <r>
    <s v="ORD0311"/>
    <d v="2024-01-19T00:00:00"/>
    <x v="3"/>
    <x v="0"/>
    <s v="CUST063"/>
    <s v="PROD018"/>
    <n v="2"/>
    <n v="454.26"/>
    <s v="Product_18"/>
    <x v="4"/>
    <m/>
    <m/>
    <x v="1"/>
    <s v="customer63@email.com"/>
  </r>
  <r>
    <s v="ORD0312"/>
    <d v="2024-02-12T00:00:00"/>
    <x v="2"/>
    <x v="4"/>
    <s v="CUST095"/>
    <s v="PROD022"/>
    <n v="1"/>
    <n v="91.49"/>
    <s v="Product_22"/>
    <x v="2"/>
    <m/>
    <m/>
    <x v="2"/>
    <s v="customer95@email.com"/>
  </r>
  <r>
    <s v="ORD0313"/>
    <d v="2024-06-01T00:00:00"/>
    <x v="4"/>
    <x v="1"/>
    <s v="CUST114"/>
    <s v="PROD037"/>
    <n v="3"/>
    <n v="130.74"/>
    <s v="Product_37"/>
    <x v="2"/>
    <m/>
    <m/>
    <x v="2"/>
    <s v="customer114@email.com"/>
  </r>
  <r>
    <s v="ORD0314"/>
    <d v="2024-03-14T00:00:00"/>
    <x v="0"/>
    <x v="3"/>
    <s v="CUST042"/>
    <s v="PROD003"/>
    <n v="5"/>
    <n v="1689"/>
    <s v="Product_3"/>
    <x v="1"/>
    <m/>
    <m/>
    <x v="1"/>
    <s v="customer42@email.com"/>
  </r>
  <r>
    <s v="ORD0315"/>
    <d v="2024-02-01T00:00:00"/>
    <x v="0"/>
    <x v="4"/>
    <s v="CUST025"/>
    <s v="PROD020"/>
    <n v="4"/>
    <n v="1678.6"/>
    <s v="Product_20"/>
    <x v="0"/>
    <m/>
    <m/>
    <x v="3"/>
    <s v="customer25@email.com"/>
  </r>
  <r>
    <s v="ORD0316"/>
    <d v="2024-06-25T00:00:00"/>
    <x v="6"/>
    <x v="1"/>
    <s v="CUST110"/>
    <s v="PROD033"/>
    <n v="4"/>
    <n v="152.04"/>
    <s v="Product_33"/>
    <x v="1"/>
    <m/>
    <m/>
    <x v="2"/>
    <s v="customer110@email.com"/>
  </r>
  <r>
    <s v="ORD0317"/>
    <d v="2024-06-28T00:00:00"/>
    <x v="3"/>
    <x v="1"/>
    <s v="CUST030"/>
    <s v="PROD007"/>
    <n v="3"/>
    <n v="309.89999999999998"/>
    <s v="Product_7"/>
    <x v="3"/>
    <m/>
    <m/>
    <x v="2"/>
    <s v="customer30@email.com"/>
  </r>
  <r>
    <s v="ORD0318"/>
    <d v="2024-03-10T00:00:00"/>
    <x v="1"/>
    <x v="3"/>
    <s v="CUST083"/>
    <s v="PROD012"/>
    <n v="4"/>
    <n v="158.80000000000001"/>
    <s v="Product_12"/>
    <x v="4"/>
    <m/>
    <m/>
    <x v="3"/>
    <s v="customer83@email.com"/>
  </r>
  <r>
    <s v="ORD0319"/>
    <d v="2024-05-18T00:00:00"/>
    <x v="4"/>
    <x v="2"/>
    <s v="CUST041"/>
    <s v="PROD025"/>
    <n v="5"/>
    <n v="978.5"/>
    <s v="Product_25"/>
    <x v="2"/>
    <m/>
    <m/>
    <x v="2"/>
    <s v="customer41@email.com"/>
  </r>
  <r>
    <s v="ORD0320"/>
    <d v="2024-04-22T00:00:00"/>
    <x v="2"/>
    <x v="5"/>
    <s v="CUST100"/>
    <s v="PROD023"/>
    <n v="4"/>
    <n v="983.48"/>
    <s v="Product_23"/>
    <x v="3"/>
    <m/>
    <m/>
    <x v="3"/>
    <s v="customer100@email.com"/>
  </r>
  <r>
    <s v="ORD0321"/>
    <d v="2024-06-02T00:00:00"/>
    <x v="1"/>
    <x v="1"/>
    <s v="CUST072"/>
    <s v="PROD029"/>
    <n v="1"/>
    <n v="85.85"/>
    <s v="Product_29"/>
    <x v="3"/>
    <m/>
    <m/>
    <x v="0"/>
    <s v="customer72@email.com"/>
  </r>
  <r>
    <s v="ORD0322"/>
    <d v="2024-04-20T00:00:00"/>
    <x v="4"/>
    <x v="5"/>
    <s v="CUST110"/>
    <s v="PROD009"/>
    <n v="1"/>
    <n v="217.55"/>
    <s v="Product_9"/>
    <x v="1"/>
    <m/>
    <m/>
    <x v="2"/>
    <s v="customer110@email.com"/>
  </r>
  <r>
    <s v="ORD0323"/>
    <d v="2024-06-03T00:00:00"/>
    <x v="2"/>
    <x v="1"/>
    <s v="CUST079"/>
    <s v="PROD013"/>
    <n v="3"/>
    <n v="1206.8699999999999"/>
    <s v="Product_13"/>
    <x v="1"/>
    <m/>
    <m/>
    <x v="2"/>
    <s v="customer79@email.com"/>
  </r>
  <r>
    <s v="ORD0324"/>
    <d v="2024-01-07T00:00:00"/>
    <x v="1"/>
    <x v="0"/>
    <s v="CUST107"/>
    <s v="PROD025"/>
    <n v="3"/>
    <n v="587.1"/>
    <s v="Product_25"/>
    <x v="2"/>
    <m/>
    <m/>
    <x v="3"/>
    <s v="customer107@email.com"/>
  </r>
  <r>
    <s v="ORD0325"/>
    <d v="2024-02-28T00:00:00"/>
    <x v="5"/>
    <x v="4"/>
    <s v="CUST014"/>
    <s v="PROD038"/>
    <n v="1"/>
    <n v="340.85"/>
    <s v="Product_38"/>
    <x v="4"/>
    <m/>
    <m/>
    <x v="2"/>
    <s v="customer14@email.com"/>
  </r>
  <r>
    <s v="ORD0326"/>
    <d v="2024-05-30T00:00:00"/>
    <x v="0"/>
    <x v="2"/>
    <s v="CUST067"/>
    <s v="PROD037"/>
    <n v="5"/>
    <n v="217.9"/>
    <s v="Product_37"/>
    <x v="2"/>
    <m/>
    <m/>
    <x v="0"/>
    <s v="customer67@email.com"/>
  </r>
  <r>
    <s v="ORD0327"/>
    <d v="2024-06-21T00:00:00"/>
    <x v="3"/>
    <x v="1"/>
    <s v="CUST038"/>
    <s v="PROD013"/>
    <n v="1"/>
    <n v="402.29"/>
    <s v="Product_13"/>
    <x v="1"/>
    <m/>
    <m/>
    <x v="2"/>
    <s v="customer38@email.com"/>
  </r>
  <r>
    <s v="ORD0328"/>
    <d v="2024-05-27T00:00:00"/>
    <x v="2"/>
    <x v="2"/>
    <s v="CUST043"/>
    <s v="PROD028"/>
    <n v="3"/>
    <n v="1002.96"/>
    <s v="Product_28"/>
    <x v="0"/>
    <m/>
    <m/>
    <x v="3"/>
    <s v="customer43@email.com"/>
  </r>
  <r>
    <s v="ORD0329"/>
    <d v="2024-02-14T00:00:00"/>
    <x v="5"/>
    <x v="4"/>
    <s v="CUST043"/>
    <s v="PROD006"/>
    <n v="1"/>
    <n v="394.46"/>
    <s v="Product_6"/>
    <x v="2"/>
    <m/>
    <m/>
    <x v="3"/>
    <s v="customer43@email.com"/>
  </r>
  <r>
    <s v="ORD0330"/>
    <d v="2024-05-12T00:00:00"/>
    <x v="1"/>
    <x v="2"/>
    <s v="CUST035"/>
    <s v="PROD012"/>
    <n v="4"/>
    <n v="158.80000000000001"/>
    <s v="Product_12"/>
    <x v="4"/>
    <m/>
    <m/>
    <x v="3"/>
    <s v="customer35@email.com"/>
  </r>
  <r>
    <s v="ORD0331"/>
    <d v="2024-03-12T00:00:00"/>
    <x v="6"/>
    <x v="3"/>
    <s v="CUST046"/>
    <s v="PROD001"/>
    <n v="4"/>
    <n v="1724.88"/>
    <s v="Product_1"/>
    <x v="4"/>
    <m/>
    <m/>
    <x v="3"/>
    <s v="customer46@email.com"/>
  </r>
  <r>
    <s v="ORD0332"/>
    <d v="2024-05-29T00:00:00"/>
    <x v="5"/>
    <x v="2"/>
    <s v="CUST071"/>
    <s v="PROD005"/>
    <n v="2"/>
    <n v="584.67999999999995"/>
    <s v="Product_5"/>
    <x v="0"/>
    <m/>
    <m/>
    <x v="1"/>
    <s v="customer71@email.com"/>
  </r>
  <r>
    <s v="ORD0333"/>
    <d v="2024-06-11T00:00:00"/>
    <x v="6"/>
    <x v="1"/>
    <s v="CUST026"/>
    <s v="PROD028"/>
    <n v="4"/>
    <n v="1337.28"/>
    <s v="Product_28"/>
    <x v="0"/>
    <m/>
    <m/>
    <x v="0"/>
    <s v="customer26@email.com"/>
  </r>
  <r>
    <s v="ORD0334"/>
    <d v="2024-01-24T00:00:00"/>
    <x v="5"/>
    <x v="0"/>
    <s v="CUST055"/>
    <s v="PROD006"/>
    <n v="4"/>
    <n v="1577.84"/>
    <s v="Product_6"/>
    <x v="2"/>
    <m/>
    <m/>
    <x v="0"/>
    <s v="customer55@email.com"/>
  </r>
  <r>
    <s v="ORD0335"/>
    <d v="2024-03-30T00:00:00"/>
    <x v="4"/>
    <x v="3"/>
    <s v="CUST063"/>
    <s v="PROD040"/>
    <n v="4"/>
    <n v="522.6"/>
    <s v="Product_40"/>
    <x v="0"/>
    <m/>
    <m/>
    <x v="1"/>
    <s v="customer63@email.com"/>
  </r>
  <r>
    <s v="ORD0336"/>
    <d v="2024-03-26T00:00:00"/>
    <x v="6"/>
    <x v="3"/>
    <s v="CUST061"/>
    <s v="PROD037"/>
    <n v="4"/>
    <n v="174.32"/>
    <s v="Product_37"/>
    <x v="2"/>
    <m/>
    <m/>
    <x v="1"/>
    <s v="customer61@email.com"/>
  </r>
  <r>
    <s v="ORD0337"/>
    <d v="2024-06-20T00:00:00"/>
    <x v="0"/>
    <x v="1"/>
    <s v="CUST016"/>
    <s v="PROD024"/>
    <n v="3"/>
    <n v="1356.6"/>
    <s v="Product_24"/>
    <x v="3"/>
    <m/>
    <m/>
    <x v="2"/>
    <s v="customer16@email.com"/>
  </r>
  <r>
    <s v="ORD0338"/>
    <d v="2024-02-11T00:00:00"/>
    <x v="1"/>
    <x v="4"/>
    <s v="CUST102"/>
    <s v="PROD016"/>
    <n v="1"/>
    <n v="216.72"/>
    <s v="Product_16"/>
    <x v="2"/>
    <m/>
    <m/>
    <x v="0"/>
    <s v="customer102@email.com"/>
  </r>
  <r>
    <s v="ORD0339"/>
    <d v="2024-04-15T00:00:00"/>
    <x v="2"/>
    <x v="5"/>
    <s v="CUST079"/>
    <s v="PROD037"/>
    <n v="3"/>
    <n v="130.74"/>
    <s v="Product_37"/>
    <x v="2"/>
    <m/>
    <m/>
    <x v="2"/>
    <s v="customer79@email.com"/>
  </r>
  <r>
    <s v="ORD0340"/>
    <d v="2024-03-14T00:00:00"/>
    <x v="0"/>
    <x v="3"/>
    <s v="CUST112"/>
    <s v="PROD005"/>
    <n v="4"/>
    <n v="1169.3599999999999"/>
    <s v="Product_5"/>
    <x v="0"/>
    <m/>
    <m/>
    <x v="3"/>
    <s v="customer112@email.com"/>
  </r>
  <r>
    <s v="ORD0341"/>
    <d v="2024-05-20T00:00:00"/>
    <x v="2"/>
    <x v="2"/>
    <s v="CUST101"/>
    <s v="PROD038"/>
    <n v="4"/>
    <n v="1363.4"/>
    <s v="Product_38"/>
    <x v="4"/>
    <m/>
    <m/>
    <x v="1"/>
    <s v="customer101@email.com"/>
  </r>
  <r>
    <s v="ORD0342"/>
    <d v="2024-04-26T00:00:00"/>
    <x v="3"/>
    <x v="5"/>
    <s v="CUST066"/>
    <s v="PROD005"/>
    <n v="1"/>
    <n v="292.33999999999997"/>
    <s v="Product_5"/>
    <x v="0"/>
    <m/>
    <m/>
    <x v="3"/>
    <s v="customer66@email.com"/>
  </r>
  <r>
    <s v="ORD0343"/>
    <d v="2024-03-21T00:00:00"/>
    <x v="0"/>
    <x v="3"/>
    <s v="CUST088"/>
    <s v="PROD035"/>
    <n v="1"/>
    <n v="87.14"/>
    <s v="Product_35"/>
    <x v="0"/>
    <m/>
    <m/>
    <x v="0"/>
    <s v="customer88@email.com"/>
  </r>
  <r>
    <s v="ORD0344"/>
    <d v="2024-03-23T00:00:00"/>
    <x v="4"/>
    <x v="3"/>
    <s v="CUST054"/>
    <s v="PROD010"/>
    <n v="3"/>
    <n v="1299.8399999999999"/>
    <s v="Product_10"/>
    <x v="3"/>
    <m/>
    <m/>
    <x v="3"/>
    <s v="customer54@email.com"/>
  </r>
  <r>
    <s v="ORD0345"/>
    <d v="2024-04-13T00:00:00"/>
    <x v="4"/>
    <x v="5"/>
    <s v="CUST002"/>
    <s v="PROD005"/>
    <n v="1"/>
    <n v="292.33999999999997"/>
    <s v="Product_5"/>
    <x v="0"/>
    <m/>
    <m/>
    <x v="3"/>
    <s v="customer2@email.com"/>
  </r>
  <r>
    <s v="ORD0346"/>
    <d v="2024-01-01T00:00:00"/>
    <x v="2"/>
    <x v="0"/>
    <s v="CUST030"/>
    <s v="PROD015"/>
    <n v="5"/>
    <n v="1363.9"/>
    <s v="Product_15"/>
    <x v="2"/>
    <m/>
    <m/>
    <x v="2"/>
    <s v="customer30@email.com"/>
  </r>
  <r>
    <s v="ORD0347"/>
    <d v="2024-04-28T00:00:00"/>
    <x v="1"/>
    <x v="5"/>
    <s v="CUST017"/>
    <s v="PROD019"/>
    <n v="5"/>
    <n v="289.89999999999998"/>
    <s v="Product_19"/>
    <x v="0"/>
    <m/>
    <m/>
    <x v="3"/>
    <s v="customer17@email.com"/>
  </r>
  <r>
    <s v="ORD0348"/>
    <d v="2024-01-14T00:00:00"/>
    <x v="1"/>
    <x v="0"/>
    <s v="CUST059"/>
    <s v="PROD036"/>
    <n v="4"/>
    <n v="197"/>
    <s v="Product_36"/>
    <x v="0"/>
    <m/>
    <m/>
    <x v="3"/>
    <s v="customer59@email.com"/>
  </r>
  <r>
    <s v="ORD0349"/>
    <d v="2024-05-12T00:00:00"/>
    <x v="1"/>
    <x v="2"/>
    <s v="CUST032"/>
    <s v="PROD036"/>
    <n v="2"/>
    <n v="98.5"/>
    <s v="Product_36"/>
    <x v="0"/>
    <m/>
    <m/>
    <x v="3"/>
    <s v="customer32@email.com"/>
  </r>
  <r>
    <s v="ORD0350"/>
    <d v="2024-06-08T00:00:00"/>
    <x v="4"/>
    <x v="1"/>
    <s v="CUST024"/>
    <s v="PROD023"/>
    <n v="3"/>
    <n v="737.61"/>
    <s v="Product_23"/>
    <x v="3"/>
    <m/>
    <m/>
    <x v="0"/>
    <s v="customer24@email.com"/>
  </r>
  <r>
    <s v="ORD0351"/>
    <d v="2024-06-09T00:00:00"/>
    <x v="1"/>
    <x v="1"/>
    <s v="CUST023"/>
    <s v="PROD030"/>
    <n v="4"/>
    <n v="466.68"/>
    <s v="Product_30"/>
    <x v="1"/>
    <m/>
    <m/>
    <x v="2"/>
    <s v="customer23@email.com"/>
  </r>
  <r>
    <s v="ORD0352"/>
    <d v="2024-01-14T00:00:00"/>
    <x v="1"/>
    <x v="0"/>
    <s v="CUST001"/>
    <s v="PROD040"/>
    <n v="4"/>
    <n v="522.6"/>
    <s v="Product_40"/>
    <x v="0"/>
    <m/>
    <m/>
    <x v="1"/>
    <s v="customer1@email.com"/>
  </r>
  <r>
    <s v="ORD0353"/>
    <d v="2024-03-09T00:00:00"/>
    <x v="4"/>
    <x v="3"/>
    <s v="CUST077"/>
    <s v="PROD002"/>
    <n v="2"/>
    <n v="523.88"/>
    <s v="Product_2"/>
    <x v="4"/>
    <m/>
    <m/>
    <x v="1"/>
    <s v="customer77@email.com"/>
  </r>
  <r>
    <s v="ORD0354"/>
    <d v="2024-02-03T00:00:00"/>
    <x v="4"/>
    <x v="4"/>
    <s v="CUST052"/>
    <s v="PROD001"/>
    <n v="5"/>
    <n v="2156.1"/>
    <s v="Product_1"/>
    <x v="4"/>
    <m/>
    <m/>
    <x v="3"/>
    <s v="customer52@email.com"/>
  </r>
  <r>
    <s v="ORD0355"/>
    <d v="2024-04-22T00:00:00"/>
    <x v="2"/>
    <x v="5"/>
    <s v="CUST108"/>
    <s v="PROD005"/>
    <n v="3"/>
    <n v="877.02"/>
    <s v="Product_5"/>
    <x v="0"/>
    <m/>
    <m/>
    <x v="2"/>
    <s v="customer108@email.com"/>
  </r>
  <r>
    <s v="ORD0356"/>
    <d v="2024-02-01T00:00:00"/>
    <x v="0"/>
    <x v="4"/>
    <s v="CUST113"/>
    <s v="PROD038"/>
    <n v="4"/>
    <n v="1363.4"/>
    <s v="Product_38"/>
    <x v="4"/>
    <m/>
    <m/>
    <x v="3"/>
    <s v="customer113@email.com"/>
  </r>
  <r>
    <s v="ORD0357"/>
    <d v="2024-06-10T00:00:00"/>
    <x v="2"/>
    <x v="1"/>
    <s v="CUST001"/>
    <s v="PROD032"/>
    <n v="1"/>
    <n v="39.869999999999997"/>
    <s v="Product_32"/>
    <x v="0"/>
    <m/>
    <m/>
    <x v="1"/>
    <s v="customer1@email.com"/>
  </r>
  <r>
    <s v="ORD0358"/>
    <d v="2024-03-02T00:00:00"/>
    <x v="4"/>
    <x v="3"/>
    <s v="CUST048"/>
    <s v="PROD028"/>
    <n v="5"/>
    <n v="1671.6"/>
    <s v="Product_28"/>
    <x v="0"/>
    <m/>
    <m/>
    <x v="1"/>
    <s v="customer48@email.com"/>
  </r>
  <r>
    <s v="ORD0359"/>
    <d v="2024-03-20T00:00:00"/>
    <x v="5"/>
    <x v="3"/>
    <s v="CUST050"/>
    <s v="PROD032"/>
    <n v="2"/>
    <n v="79.739999999999995"/>
    <s v="Product_32"/>
    <x v="0"/>
    <m/>
    <m/>
    <x v="1"/>
    <s v="customer50@email.com"/>
  </r>
  <r>
    <s v="ORD0360"/>
    <d v="2024-01-04T00:00:00"/>
    <x v="0"/>
    <x v="0"/>
    <s v="CUST103"/>
    <s v="PROD024"/>
    <n v="5"/>
    <n v="2261"/>
    <s v="Product_24"/>
    <x v="3"/>
    <m/>
    <m/>
    <x v="2"/>
    <s v="customer103@email.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DC1C74-18B0-41E6-BAED-241ECF03DC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4">
    <pivotField showAll="0"/>
    <pivotField numFmtId="164" showAll="0"/>
    <pivotField showAll="0"/>
    <pivotField showAll="0">
      <items count="7">
        <item x="0"/>
        <item x="4"/>
        <item x="3"/>
        <item x="5"/>
        <item x="2"/>
        <item x="1"/>
        <item t="default"/>
      </items>
    </pivotField>
    <pivotField showAll="0"/>
    <pivotField showAll="0"/>
    <pivotField showAll="0"/>
    <pivotField dataField="1" showAll="0"/>
    <pivotField showAll="0"/>
    <pivotField axis="axisRow" showAll="0">
      <items count="6">
        <item x="3"/>
        <item x="2"/>
        <item x="4"/>
        <item x="1"/>
        <item x="0"/>
        <item t="default"/>
      </items>
    </pivotField>
    <pivotField showAll="0"/>
    <pivotField showAll="0"/>
    <pivotField showAll="0">
      <items count="7">
        <item x="0"/>
        <item x="1"/>
        <item m="1" x="5"/>
        <item x="3"/>
        <item x="2"/>
        <item m="1" x="4"/>
        <item t="default"/>
      </items>
    </pivotField>
    <pivotField showAll="0"/>
  </pivotFields>
  <rowFields count="1">
    <field x="9"/>
  </rowFields>
  <rowItems count="6">
    <i>
      <x/>
    </i>
    <i>
      <x v="1"/>
    </i>
    <i>
      <x v="2"/>
    </i>
    <i>
      <x v="3"/>
    </i>
    <i>
      <x v="4"/>
    </i>
    <i t="grand">
      <x/>
    </i>
  </rowItems>
  <colItems count="1">
    <i/>
  </colItems>
  <dataFields count="1">
    <dataField name="Sum of SalesAmount" fld="7" baseField="0" baseItem="16" numFmtId="165"/>
  </dataFields>
  <formats count="1">
    <format dxfId="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47162-AE61-4C26-9AF5-AF89B7939B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64" showAll="0"/>
    <pivotField showAll="0"/>
    <pivotField showAll="0"/>
    <pivotField showAll="0"/>
    <pivotField showAll="0"/>
    <pivotField showAll="0"/>
    <pivotField dataField="1" showAll="0"/>
    <pivotField showAll="0"/>
    <pivotField showAll="0">
      <items count="6">
        <item x="3"/>
        <item x="2"/>
        <item x="4"/>
        <item x="1"/>
        <item x="0"/>
        <item t="default"/>
      </items>
    </pivotField>
    <pivotField showAll="0"/>
    <pivotField showAll="0"/>
    <pivotField axis="axisRow" showAll="0">
      <items count="7">
        <item x="0"/>
        <item x="1"/>
        <item m="1" x="5"/>
        <item x="3"/>
        <item x="2"/>
        <item m="1" x="4"/>
        <item t="default"/>
      </items>
    </pivotField>
    <pivotField showAll="0"/>
  </pivotFields>
  <rowFields count="1">
    <field x="12"/>
  </rowFields>
  <rowItems count="5">
    <i>
      <x/>
    </i>
    <i>
      <x v="1"/>
    </i>
    <i>
      <x v="3"/>
    </i>
    <i>
      <x v="4"/>
    </i>
    <i t="grand">
      <x/>
    </i>
  </rowItems>
  <colItems count="1">
    <i/>
  </colItems>
  <dataFields count="1">
    <dataField name="Sum of SalesAmount" fld="7" baseField="0" baseItem="0" numFmtId="165"/>
  </dataFields>
  <formats count="2">
    <format dxfId="8">
      <pivotArea dataOnly="0" labelOnly="1" outline="0" axis="axisValues" fieldPosition="0"/>
    </format>
    <format dxfId="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BB4FBB-A2EF-4390-A264-5C7037FCAC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4">
    <pivotField showAll="0"/>
    <pivotField numFmtId="164" showAll="0"/>
    <pivotField showAll="0"/>
    <pivotField axis="axisRow" showAll="0">
      <items count="7">
        <item x="0"/>
        <item x="4"/>
        <item x="3"/>
        <item x="5"/>
        <item x="2"/>
        <item x="1"/>
        <item t="default"/>
      </items>
    </pivotField>
    <pivotField showAll="0"/>
    <pivotField showAll="0"/>
    <pivotField showAll="0"/>
    <pivotField dataField="1" showAll="0"/>
    <pivotField showAll="0"/>
    <pivotField showAll="0">
      <items count="6">
        <item x="3"/>
        <item x="2"/>
        <item x="4"/>
        <item x="1"/>
        <item x="0"/>
        <item t="default"/>
      </items>
    </pivotField>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SalesAmount" fld="7" baseField="0" baseItem="0" numFmtId="165"/>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B27E7D-6355-463C-86CC-D4E3E2D116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4">
    <pivotField showAll="0"/>
    <pivotField numFmtId="164" showAll="0"/>
    <pivotField axis="axisRow" showAll="0">
      <items count="8">
        <item x="2"/>
        <item x="6"/>
        <item x="5"/>
        <item x="0"/>
        <item x="3"/>
        <item x="4"/>
        <item x="1"/>
        <item t="default"/>
      </items>
    </pivotField>
    <pivotField showAll="0"/>
    <pivotField showAll="0"/>
    <pivotField showAll="0"/>
    <pivotField showAll="0"/>
    <pivotField dataField="1" showAll="0"/>
    <pivotField showAll="0"/>
    <pivotField showAll="0">
      <items count="6">
        <item x="3"/>
        <item x="2"/>
        <item x="4"/>
        <item x="1"/>
        <item x="0"/>
        <item t="default"/>
      </items>
    </pivotField>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SalesAmount" fld="7" baseField="0" baseItem="0" numFmtId="165"/>
  </dataFields>
  <formats count="1">
    <format dxfId="5">
      <pivotArea dataOnly="0"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4C316E-7FC4-483C-95A5-2BB6E3E377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4">
    <pivotField showAll="0"/>
    <pivotField numFmtId="164" showAll="0"/>
    <pivotField showAll="0"/>
    <pivotField showAll="0"/>
    <pivotField showAll="0"/>
    <pivotField showAll="0"/>
    <pivotField dataField="1" showAll="0"/>
    <pivotField showAll="0"/>
    <pivotField showAll="0"/>
    <pivotField axis="axisRow" showAll="0">
      <items count="6">
        <item x="3"/>
        <item x="2"/>
        <item x="4"/>
        <item x="1"/>
        <item x="0"/>
        <item t="default"/>
      </items>
    </pivotField>
    <pivotField showAll="0"/>
    <pivotField showAll="0"/>
    <pivotField showAll="0"/>
    <pivotField showAll="0"/>
  </pivotFields>
  <rowFields count="1">
    <field x="9"/>
  </rowFields>
  <rowItems count="6">
    <i>
      <x/>
    </i>
    <i>
      <x v="1"/>
    </i>
    <i>
      <x v="2"/>
    </i>
    <i>
      <x v="3"/>
    </i>
    <i>
      <x v="4"/>
    </i>
    <i t="grand">
      <x/>
    </i>
  </rowItems>
  <colItems count="1">
    <i/>
  </colItems>
  <dataFields count="1">
    <dataField name="Sum of Quantity" fld="6"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7A6283-C274-4771-8905-4E831075A0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64" showAll="0"/>
    <pivotField showAll="0"/>
    <pivotField showAll="0"/>
    <pivotField showAll="0"/>
    <pivotField showAll="0"/>
    <pivotField dataField="1" showAll="0"/>
    <pivotField showAll="0"/>
    <pivotField showAll="0"/>
    <pivotField showAll="0">
      <items count="6">
        <item x="3"/>
        <item x="2"/>
        <item x="4"/>
        <item x="1"/>
        <item x="0"/>
        <item t="default"/>
      </items>
    </pivotField>
    <pivotField showAll="0"/>
    <pivotField showAll="0"/>
    <pivotField axis="axisRow" showAll="0">
      <items count="7">
        <item x="0"/>
        <item x="1"/>
        <item m="1" x="5"/>
        <item x="3"/>
        <item x="2"/>
        <item m="1" x="4"/>
        <item t="default"/>
      </items>
    </pivotField>
    <pivotField showAll="0"/>
  </pivotFields>
  <rowFields count="1">
    <field x="12"/>
  </rowFields>
  <rowItems count="5">
    <i>
      <x/>
    </i>
    <i>
      <x v="1"/>
    </i>
    <i>
      <x v="3"/>
    </i>
    <i>
      <x v="4"/>
    </i>
    <i t="grand">
      <x/>
    </i>
  </rowItems>
  <colItems count="1">
    <i/>
  </colItems>
  <dataFields count="1">
    <dataField name="Sum of Quantity" fld="6" baseField="0" baseItem="0"/>
  </dataFields>
  <formats count="5">
    <format dxfId="4">
      <pivotArea collapsedLevelsAreSubtotals="1" fieldPosition="0">
        <references count="1">
          <reference field="12" count="1">
            <x v="0"/>
          </reference>
        </references>
      </pivotArea>
    </format>
    <format dxfId="3">
      <pivotArea collapsedLevelsAreSubtotals="1" fieldPosition="0">
        <references count="1">
          <reference field="12" count="3">
            <x v="1"/>
            <x v="3"/>
            <x v="4"/>
          </reference>
        </references>
      </pivotArea>
    </format>
    <format dxfId="2">
      <pivotArea grandRow="1" outline="0" collapsedLevelsAreSubtotals="1" fieldPosition="0"/>
    </format>
    <format dxfId="1">
      <pivotArea outline="0" collapsedLevelsAreSubtotals="1" fieldPosition="0"/>
    </format>
    <format dxfId="0">
      <pivotArea dataOnly="0" labelOnly="1" outline="0" axis="axisValues" fieldPosition="0"/>
    </format>
  </formats>
  <chartFormats count="10">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2" count="1" selected="0">
            <x v="1"/>
          </reference>
        </references>
      </pivotArea>
    </chartFormat>
    <chartFormat chart="0" format="8">
      <pivotArea type="data" outline="0" fieldPosition="0">
        <references count="2">
          <reference field="4294967294" count="1" selected="0">
            <x v="0"/>
          </reference>
          <reference field="12" count="1" selected="0">
            <x v="3"/>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2" count="1" selected="0">
            <x v="0"/>
          </reference>
        </references>
      </pivotArea>
    </chartFormat>
    <chartFormat chart="4" format="16">
      <pivotArea type="data" outline="0" fieldPosition="0">
        <references count="2">
          <reference field="4294967294" count="1" selected="0">
            <x v="0"/>
          </reference>
          <reference field="12" count="1" selected="0">
            <x v="1"/>
          </reference>
        </references>
      </pivotArea>
    </chartFormat>
    <chartFormat chart="4" format="17">
      <pivotArea type="data" outline="0" fieldPosition="0">
        <references count="2">
          <reference field="4294967294" count="1" selected="0">
            <x v="0"/>
          </reference>
          <reference field="12" count="1" selected="0">
            <x v="3"/>
          </reference>
        </references>
      </pivotArea>
    </chartFormat>
    <chartFormat chart="4" format="18">
      <pivotArea type="data" outline="0" fieldPosition="0">
        <references count="2">
          <reference field="4294967294" count="1" selected="0">
            <x v="0"/>
          </reference>
          <reference field="12" count="1" selected="0">
            <x v="4"/>
          </reference>
        </references>
      </pivotArea>
    </chartFormat>
    <chartFormat chart="0" format="9">
      <pivotArea type="data" outline="0" fieldPosition="0">
        <references count="2">
          <reference field="4294967294" count="1" selected="0">
            <x v="0"/>
          </reference>
          <reference field="12" count="1" selected="0">
            <x v="0"/>
          </reference>
        </references>
      </pivotArea>
    </chartFormat>
    <chartFormat chart="0" format="10">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22F433-4EE8-4472-9F09-4E1086DFC587}" sourceName="Category">
  <pivotTables>
    <pivotTable tabId="4" name="PivotTable1"/>
    <pivotTable tabId="7" name="PivotTable1"/>
    <pivotTable tabId="8" name="PivotTable2"/>
    <pivotTable tabId="9" name="PivotTable3"/>
    <pivotTable tabId="10" name="PivotTable1"/>
    <pivotTable tabId="11" name="PivotTable2"/>
  </pivotTables>
  <data>
    <tabular pivotCacheId="1867589245">
      <items count="5">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62A6CA69-F407-4DD4-91AD-AC650C39F691}" sourceName="Months">
  <pivotTables>
    <pivotTable tabId="4" name="PivotTable1"/>
  </pivotTables>
  <data>
    <tabular pivotCacheId="1867589245">
      <items count="6">
        <i x="0" s="1"/>
        <i x="4" s="1"/>
        <i x="3" s="1"/>
        <i x="5"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C423466-ED9F-469D-AFC9-27D977918528}" sourceName="Country">
  <pivotTables>
    <pivotTable tabId="4" name="PivotTable1"/>
  </pivotTables>
  <data>
    <tabular pivotCacheId="1867589245">
      <items count="6">
        <i x="0" s="1"/>
        <i x="1" s="1"/>
        <i x="3" s="1"/>
        <i x="2" s="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C8B7958-A15F-497F-A516-54BD9B1A9874}" cache="Slicer_Category" caption="Category" columnCount="2" style="SlicerStyleOther2" rowHeight="247650"/>
  <slicer name="Months" xr10:uid="{1CAA96CB-BA52-4D6F-B75C-0B2384D55416}" cache="Slicer_Months" caption="Months" style="SlicerStyleOther2" rowHeight="247650"/>
  <slicer name="Country" xr10:uid="{63D37BFE-2C31-47C0-B648-A6D027CA22EC}" cache="Slicer_Country" caption="Country"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F9D4D3-BF09-42B4-BA84-F57DD09F7FFE}" name="Sales_Table" displayName="Sales_Table" ref="A1:N361" totalsRowShown="0" headerRowDxfId="28" headerRowBorderDxfId="27" tableBorderDxfId="26">
  <autoFilter ref="A1:N361" xr:uid="{A1F9D4D3-BF09-42B4-BA84-F57DD09F7FFE}"/>
  <tableColumns count="14">
    <tableColumn id="1" xr3:uid="{48F74444-9E06-449E-93B6-65FC023854DD}" name="OrderID"/>
    <tableColumn id="2" xr3:uid="{841B6EBF-FAF1-438E-BFFE-9E9A8D417AE0}" name="OrderDate" dataDxfId="25"/>
    <tableColumn id="13" xr3:uid="{10C01BFA-94F0-4933-8CAA-14333DEBA66E}" name="Days" dataDxfId="24">
      <calculatedColumnFormula>TEXT(Sales_Table[[#This Row],[OrderDate]],"DDDD")</calculatedColumnFormula>
    </tableColumn>
    <tableColumn id="14" xr3:uid="{CE500335-9B88-4753-A40E-1FB776A73BAA}" name="Months" dataDxfId="23">
      <calculatedColumnFormula>TEXT(Sales_Table[[#This Row],[OrderDate]],"MMMM")</calculatedColumnFormula>
    </tableColumn>
    <tableColumn id="3" xr3:uid="{7760AB2B-A908-4611-BBAB-21A1C252A376}" name="CustomerID"/>
    <tableColumn id="4" xr3:uid="{9ACBE339-151D-4E18-A202-AB1BE53F224E}" name="ProductID"/>
    <tableColumn id="5" xr3:uid="{15FDA758-EEED-471E-9702-7875D1834683}" name="Quantity"/>
    <tableColumn id="6" xr3:uid="{D3892486-E0BA-4C9A-890A-702E27A81521}" name="SalesAmount"/>
    <tableColumn id="7" xr3:uid="{E151D5D0-8A67-4C31-9EA0-BBE67C65BA75}" name="ProductName" dataDxfId="22">
      <calculatedColumnFormula>VLOOKUP(Sales_Table[[#This Row],[ProductID]],Product_Table[],2,FALSE)</calculatedColumnFormula>
    </tableColumn>
    <tableColumn id="8" xr3:uid="{5BB5ABE4-7B57-4574-9523-656A8BB25EB0}" name="Category" dataDxfId="21">
      <calculatedColumnFormula>VLOOKUP(Sales_Table[[#This Row],[ProductID]],Product_Table[],3,FALSE)</calculatedColumnFormula>
    </tableColumn>
    <tableColumn id="9" xr3:uid="{71D6742C-7DF5-4983-99A0-C87FCC9B98DA}" name="UnitPrice" dataDxfId="20">
      <calculatedColumnFormula>_xlfn.XLOOKUP(Sales_Table[[#This Row],[ProductID]],Product_Table[ProductID],Product_Table[UnitPrice],"NULL",0)</calculatedColumnFormula>
    </tableColumn>
    <tableColumn id="11" xr3:uid="{8A339EAD-C6A1-4A0E-B58F-FD417942CFFA}" name="CustomerName" dataDxfId="19">
      <calculatedColumnFormula>_xlfn.XLOOKUP(Sales_Table[[#This Row],[CustomerID]],Customer_Table[CustomerID],Customer_Table[CustomerName],"NULL",0)</calculatedColumnFormula>
    </tableColumn>
    <tableColumn id="10" xr3:uid="{B59C05CC-8D1A-4905-BB14-36E9290E17C3}" name="Country" dataDxfId="18">
      <calculatedColumnFormula>INDEX(Customer_Table[Country],MATCH(Sales_Table[[#This Row],[CustomerID]],Customer_Table[CustomerID],0))</calculatedColumnFormula>
    </tableColumn>
    <tableColumn id="12" xr3:uid="{8A0E29FD-9B29-4AFB-9E57-CC6150D7C8F9}" name="Email" dataDxfId="17">
      <calculatedColumnFormula>INDEX(Customer_Table[Email],MATCH(Sales_Table[[#This Row],[CustomerID]],Customer_Table[CustomerID],0))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D2E910-9042-459A-A0BB-62FDB0CB2E1B}" name="Product_Table" displayName="Product_Table" ref="A1:D41" totalsRowShown="0" headerRowDxfId="16" headerRowBorderDxfId="15" tableBorderDxfId="14">
  <autoFilter ref="A1:D41" xr:uid="{C9D2E910-9042-459A-A0BB-62FDB0CB2E1B}"/>
  <tableColumns count="4">
    <tableColumn id="1" xr3:uid="{A5DE32F6-30AA-41DC-A5AC-9D49F77509DC}" name="ProductID"/>
    <tableColumn id="2" xr3:uid="{9EE23E88-54A2-4F0A-B284-419512076EF8}" name="ProductName"/>
    <tableColumn id="3" xr3:uid="{591BCD49-CA3D-4B5F-80C9-6D6F23DFA64E}" name="Category"/>
    <tableColumn id="4" xr3:uid="{04C6EA60-3D65-4E85-AA47-CFE9AACAEB25}" name="UnitPri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2468AF-1A03-42C4-8227-3F554A77B1AB}" name="Customer_Table" displayName="Customer_Table" ref="A1:E121" totalsRowShown="0" headerRowDxfId="13" headerRowBorderDxfId="12" tableBorderDxfId="11">
  <autoFilter ref="A1:E121" xr:uid="{A12468AF-1A03-42C4-8227-3F554A77B1AB}"/>
  <tableColumns count="5">
    <tableColumn id="1" xr3:uid="{982F0250-A37F-4218-91AD-9CB53F6AFA14}" name="CustomerID"/>
    <tableColumn id="2" xr3:uid="{9D4B9CFC-ABFA-4A1F-81E0-CFDC179FB9B2}" name="CustomerName"/>
    <tableColumn id="3" xr3:uid="{CE724C26-F4DF-4C5B-99DF-33AB56772C8E}" name="Email"/>
    <tableColumn id="4" xr3:uid="{522B0CD5-AF92-4E65-A2AF-4667EB68221B}" name="Country"/>
    <tableColumn id="5" xr3:uid="{347A84F7-A524-43E6-9093-3115EB057E1C}" name="SignupDate"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AC909-E9CD-41BA-A6CC-A8B6EE58C99D}">
  <dimension ref="A1:N361"/>
  <sheetViews>
    <sheetView workbookViewId="0">
      <selection activeCell="L2" sqref="L2"/>
    </sheetView>
  </sheetViews>
  <sheetFormatPr defaultRowHeight="14.4" x14ac:dyDescent="0.3"/>
  <cols>
    <col min="1" max="1" width="12" bestFit="1" customWidth="1"/>
    <col min="2" max="2" width="14.109375" bestFit="1" customWidth="1"/>
    <col min="3" max="3" width="18.88671875" bestFit="1" customWidth="1"/>
    <col min="4" max="4" width="15.33203125" bestFit="1" customWidth="1"/>
    <col min="5" max="5" width="13.88671875" bestFit="1" customWidth="1"/>
    <col min="6" max="6" width="12.6640625" bestFit="1" customWidth="1"/>
    <col min="7" max="7" width="16.5546875" bestFit="1" customWidth="1"/>
    <col min="8" max="8" width="17.109375" bestFit="1" customWidth="1"/>
    <col min="9" max="9" width="13" bestFit="1" customWidth="1"/>
    <col min="10" max="11" width="13.109375" bestFit="1" customWidth="1"/>
    <col min="12" max="12" width="18.6640625" bestFit="1" customWidth="1"/>
    <col min="13" max="13" width="22.33203125" bestFit="1" customWidth="1"/>
    <col min="14" max="14" width="22.2187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14</v>
      </c>
      <c r="B2" s="1">
        <v>45302</v>
      </c>
      <c r="C2" s="1" t="str">
        <f>TEXT(Sales_Table[[#This Row],[OrderDate]],"DDDD")</f>
        <v>Thursday</v>
      </c>
      <c r="D2" s="1" t="str">
        <f>TEXT(Sales_Table[[#This Row],[OrderDate]],"MMMM")</f>
        <v>January</v>
      </c>
      <c r="E2" t="s">
        <v>15</v>
      </c>
      <c r="F2" t="s">
        <v>16</v>
      </c>
      <c r="G2">
        <v>5</v>
      </c>
      <c r="H2">
        <v>2098.25</v>
      </c>
      <c r="I2" t="str">
        <f>VLOOKUP(Sales_Table[[#This Row],[ProductID]],Product_Table[],2,FALSE)</f>
        <v>Product_20</v>
      </c>
      <c r="J2" t="str">
        <f>VLOOKUP(Sales_Table[[#This Row],[ProductID]],Product_Table[],3,FALSE)</f>
        <v>Sports</v>
      </c>
      <c r="K2">
        <f>_xlfn.XLOOKUP(Sales_Table[[#This Row],[ProductID]],Product_Table[ProductID],Product_Table[UnitPrice],"NULL",0)</f>
        <v>419.65</v>
      </c>
      <c r="L2" t="str">
        <f>_xlfn.XLOOKUP(Sales_Table[[#This Row],[CustomerID]],Customer_Table[CustomerID],Customer_Table[CustomerName],"NULL",0)</f>
        <v>Customer_115</v>
      </c>
      <c r="M2" t="str">
        <f>INDEX(Customer_Table[Country],MATCH(Sales_Table[[#This Row],[CustomerID]],Customer_Table[CustomerID],0))</f>
        <v>Canada</v>
      </c>
      <c r="N2" t="str">
        <f>INDEX(Customer_Table[Email],MATCH(Sales_Table[[#This Row],[CustomerID]],Customer_Table[CustomerID],0))</f>
        <v>customer115@email.com</v>
      </c>
    </row>
    <row r="3" spans="1:14" x14ac:dyDescent="0.3">
      <c r="A3" t="s">
        <v>17</v>
      </c>
      <c r="B3" s="1">
        <v>45312</v>
      </c>
      <c r="C3" s="1" t="str">
        <f>TEXT(Sales_Table[[#This Row],[OrderDate]],"DDDD")</f>
        <v>Sunday</v>
      </c>
      <c r="D3" s="1" t="str">
        <f>TEXT(Sales_Table[[#This Row],[OrderDate]],"MMMM")</f>
        <v>January</v>
      </c>
      <c r="E3" t="s">
        <v>18</v>
      </c>
      <c r="F3" t="s">
        <v>19</v>
      </c>
      <c r="G3">
        <v>5</v>
      </c>
      <c r="H3">
        <v>199.35</v>
      </c>
      <c r="I3" t="str">
        <f>VLOOKUP(Sales_Table[[#This Row],[ProductID]],Product_Table[],2,FALSE)</f>
        <v>Product_32</v>
      </c>
      <c r="J3" t="str">
        <f>VLOOKUP(Sales_Table[[#This Row],[ProductID]],Product_Table[],3,FALSE)</f>
        <v>Sports</v>
      </c>
      <c r="K3">
        <f>_xlfn.XLOOKUP(Sales_Table[[#This Row],[ProductID]],Product_Table[ProductID],Product_Table[UnitPrice],"NULL",0)</f>
        <v>39.869999999999997</v>
      </c>
      <c r="L3" t="str">
        <f>_xlfn.XLOOKUP(Sales_Table[[#This Row],[CustomerID]],Customer_Table[CustomerID],Customer_Table[CustomerName],"NULL",0)</f>
        <v>Customer_77</v>
      </c>
      <c r="M3" t="str">
        <f>INDEX(Customer_Table[Country],MATCH(Sales_Table[[#This Row],[CustomerID]],Customer_Table[CustomerID],0))</f>
        <v>India</v>
      </c>
      <c r="N3" t="str">
        <f>INDEX(Customer_Table[Email],MATCH(Sales_Table[[#This Row],[CustomerID]],Customer_Table[CustomerID],0))</f>
        <v>customer77@email.com</v>
      </c>
    </row>
    <row r="4" spans="1:14" x14ac:dyDescent="0.3">
      <c r="A4" t="s">
        <v>20</v>
      </c>
      <c r="B4" s="1">
        <v>45460</v>
      </c>
      <c r="C4" s="1" t="str">
        <f>TEXT(Sales_Table[[#This Row],[OrderDate]],"DDDD")</f>
        <v>Monday</v>
      </c>
      <c r="D4" s="1" t="str">
        <f>TEXT(Sales_Table[[#This Row],[OrderDate]],"MMMM")</f>
        <v>June</v>
      </c>
      <c r="E4" t="s">
        <v>21</v>
      </c>
      <c r="F4" t="s">
        <v>22</v>
      </c>
      <c r="G4">
        <v>4</v>
      </c>
      <c r="H4">
        <v>946.76</v>
      </c>
      <c r="I4" t="str">
        <f>VLOOKUP(Sales_Table[[#This Row],[ProductID]],Product_Table[],2,FALSE)</f>
        <v>Product_17</v>
      </c>
      <c r="J4" t="str">
        <f>VLOOKUP(Sales_Table[[#This Row],[ProductID]],Product_Table[],3,FALSE)</f>
        <v>Home</v>
      </c>
      <c r="K4">
        <f>_xlfn.XLOOKUP(Sales_Table[[#This Row],[ProductID]],Product_Table[ProductID],Product_Table[UnitPrice],"NULL",0)</f>
        <v>236.69</v>
      </c>
      <c r="L4" t="str">
        <f>_xlfn.XLOOKUP(Sales_Table[[#This Row],[CustomerID]],Customer_Table[CustomerID],Customer_Table[CustomerName],"NULL",0)</f>
        <v>Customer_91</v>
      </c>
      <c r="M4" t="str">
        <f>INDEX(Customer_Table[Country],MATCH(Sales_Table[[#This Row],[CustomerID]],Customer_Table[CustomerID],0))</f>
        <v>Canada</v>
      </c>
      <c r="N4" t="str">
        <f>INDEX(Customer_Table[Email],MATCH(Sales_Table[[#This Row],[CustomerID]],Customer_Table[CustomerID],0))</f>
        <v>customer91@email.com</v>
      </c>
    </row>
    <row r="5" spans="1:14" x14ac:dyDescent="0.3">
      <c r="A5" t="s">
        <v>23</v>
      </c>
      <c r="B5" s="1">
        <v>45436</v>
      </c>
      <c r="C5" s="1" t="str">
        <f>TEXT(Sales_Table[[#This Row],[OrderDate]],"DDDD")</f>
        <v>Friday</v>
      </c>
      <c r="D5" s="1" t="str">
        <f>TEXT(Sales_Table[[#This Row],[OrderDate]],"MMMM")</f>
        <v>May</v>
      </c>
      <c r="E5" t="s">
        <v>24</v>
      </c>
      <c r="F5" t="s">
        <v>25</v>
      </c>
      <c r="G5">
        <v>5</v>
      </c>
      <c r="H5">
        <v>1972.3</v>
      </c>
      <c r="I5" t="str">
        <f>VLOOKUP(Sales_Table[[#This Row],[ProductID]],Product_Table[],2,FALSE)</f>
        <v>Product_6</v>
      </c>
      <c r="J5" t="str">
        <f>VLOOKUP(Sales_Table[[#This Row],[ProductID]],Product_Table[],3,FALSE)</f>
        <v>Clothing</v>
      </c>
      <c r="K5">
        <f>_xlfn.XLOOKUP(Sales_Table[[#This Row],[ProductID]],Product_Table[ProductID],Product_Table[UnitPrice],"NULL",0)</f>
        <v>394.46</v>
      </c>
      <c r="L5" t="str">
        <f>_xlfn.XLOOKUP(Sales_Table[[#This Row],[CustomerID]],Customer_Table[CustomerID],Customer_Table[CustomerName],"NULL",0)</f>
        <v>Customer_97</v>
      </c>
      <c r="M5" t="str">
        <f>INDEX(Customer_Table[Country],MATCH(Sales_Table[[#This Row],[CustomerID]],Customer_Table[CustomerID],0))</f>
        <v>Canada</v>
      </c>
      <c r="N5" t="str">
        <f>INDEX(Customer_Table[Email],MATCH(Sales_Table[[#This Row],[CustomerID]],Customer_Table[CustomerID],0))</f>
        <v>customer97@email.com</v>
      </c>
    </row>
    <row r="6" spans="1:14" x14ac:dyDescent="0.3">
      <c r="A6" t="s">
        <v>26</v>
      </c>
      <c r="B6" s="1">
        <v>45372</v>
      </c>
      <c r="C6" s="1" t="str">
        <f>TEXT(Sales_Table[[#This Row],[OrderDate]],"DDDD")</f>
        <v>Thursday</v>
      </c>
      <c r="D6" s="1" t="str">
        <f>TEXT(Sales_Table[[#This Row],[OrderDate]],"MMMM")</f>
        <v>March</v>
      </c>
      <c r="E6" t="s">
        <v>27</v>
      </c>
      <c r="F6" t="s">
        <v>28</v>
      </c>
      <c r="G6">
        <v>5</v>
      </c>
      <c r="H6">
        <v>1039.25</v>
      </c>
      <c r="I6" t="str">
        <f>VLOOKUP(Sales_Table[[#This Row],[ProductID]],Product_Table[],2,FALSE)</f>
        <v>Product_39</v>
      </c>
      <c r="J6" t="str">
        <f>VLOOKUP(Sales_Table[[#This Row],[ProductID]],Product_Table[],3,FALSE)</f>
        <v>Clothing</v>
      </c>
      <c r="K6">
        <f>_xlfn.XLOOKUP(Sales_Table[[#This Row],[ProductID]],Product_Table[ProductID],Product_Table[UnitPrice],"NULL",0)</f>
        <v>207.85</v>
      </c>
      <c r="L6" t="str">
        <f>_xlfn.XLOOKUP(Sales_Table[[#This Row],[CustomerID]],Customer_Table[CustomerID],Customer_Table[CustomerName],"NULL",0)</f>
        <v>Customer_18</v>
      </c>
      <c r="M6" t="str">
        <f>INDEX(Customer_Table[Country],MATCH(Sales_Table[[#This Row],[CustomerID]],Customer_Table[CustomerID],0))</f>
        <v>United States</v>
      </c>
      <c r="N6" t="str">
        <f>INDEX(Customer_Table[Email],MATCH(Sales_Table[[#This Row],[CustomerID]],Customer_Table[CustomerID],0))</f>
        <v>customer18@email.com</v>
      </c>
    </row>
    <row r="7" spans="1:14" x14ac:dyDescent="0.3">
      <c r="A7" t="s">
        <v>29</v>
      </c>
      <c r="B7" s="1">
        <v>45344</v>
      </c>
      <c r="C7" s="1" t="str">
        <f>TEXT(Sales_Table[[#This Row],[OrderDate]],"DDDD")</f>
        <v>Thursday</v>
      </c>
      <c r="D7" s="1" t="str">
        <f>TEXT(Sales_Table[[#This Row],[OrderDate]],"MMMM")</f>
        <v>February</v>
      </c>
      <c r="E7" t="s">
        <v>30</v>
      </c>
      <c r="F7" t="s">
        <v>31</v>
      </c>
      <c r="G7">
        <v>3</v>
      </c>
      <c r="H7">
        <v>309.89999999999998</v>
      </c>
      <c r="I7" t="str">
        <f>VLOOKUP(Sales_Table[[#This Row],[ProductID]],Product_Table[],2,FALSE)</f>
        <v>Product_7</v>
      </c>
      <c r="J7" t="str">
        <f>VLOOKUP(Sales_Table[[#This Row],[ProductID]],Product_Table[],3,FALSE)</f>
        <v>Beauty</v>
      </c>
      <c r="K7">
        <f>_xlfn.XLOOKUP(Sales_Table[[#This Row],[ProductID]],Product_Table[ProductID],Product_Table[UnitPrice],"NULL",0)</f>
        <v>103.3</v>
      </c>
      <c r="L7" t="str">
        <f>_xlfn.XLOOKUP(Sales_Table[[#This Row],[CustomerID]],Customer_Table[CustomerID],Customer_Table[CustomerName],"NULL",0)</f>
        <v>Customer_38</v>
      </c>
      <c r="M7" t="str">
        <f>INDEX(Customer_Table[Country],MATCH(Sales_Table[[#This Row],[CustomerID]],Customer_Table[CustomerID],0))</f>
        <v>United States</v>
      </c>
      <c r="N7" t="str">
        <f>INDEX(Customer_Table[Email],MATCH(Sales_Table[[#This Row],[CustomerID]],Customer_Table[CustomerID],0))</f>
        <v>customer38@email.com</v>
      </c>
    </row>
    <row r="8" spans="1:14" x14ac:dyDescent="0.3">
      <c r="A8" t="s">
        <v>32</v>
      </c>
      <c r="B8" s="1">
        <v>45353</v>
      </c>
      <c r="C8" s="1" t="str">
        <f>TEXT(Sales_Table[[#This Row],[OrderDate]],"DDDD")</f>
        <v>Saturday</v>
      </c>
      <c r="D8" s="1" t="str">
        <f>TEXT(Sales_Table[[#This Row],[OrderDate]],"MMMM")</f>
        <v>March</v>
      </c>
      <c r="E8" t="s">
        <v>33</v>
      </c>
      <c r="F8" t="s">
        <v>34</v>
      </c>
      <c r="G8">
        <v>3</v>
      </c>
      <c r="H8">
        <v>449.31</v>
      </c>
      <c r="I8" t="str">
        <f>VLOOKUP(Sales_Table[[#This Row],[ProductID]],Product_Table[],2,FALSE)</f>
        <v>Product_27</v>
      </c>
      <c r="J8" t="str">
        <f>VLOOKUP(Sales_Table[[#This Row],[ProductID]],Product_Table[],3,FALSE)</f>
        <v>Beauty</v>
      </c>
      <c r="K8">
        <f>_xlfn.XLOOKUP(Sales_Table[[#This Row],[ProductID]],Product_Table[ProductID],Product_Table[UnitPrice],"NULL",0)</f>
        <v>149.77000000000001</v>
      </c>
      <c r="L8" t="str">
        <f>_xlfn.XLOOKUP(Sales_Table[[#This Row],[CustomerID]],Customer_Table[CustomerID],Customer_Table[CustomerName],"NULL",0)</f>
        <v>Customer_60</v>
      </c>
      <c r="M8" t="str">
        <f>INDEX(Customer_Table[Country],MATCH(Sales_Table[[#This Row],[CustomerID]],Customer_Table[CustomerID],0))</f>
        <v>United Kingdom</v>
      </c>
      <c r="N8" t="str">
        <f>INDEX(Customer_Table[Email],MATCH(Sales_Table[[#This Row],[CustomerID]],Customer_Table[CustomerID],0))</f>
        <v>customer60@email.com</v>
      </c>
    </row>
    <row r="9" spans="1:14" x14ac:dyDescent="0.3">
      <c r="A9" t="s">
        <v>35</v>
      </c>
      <c r="B9" s="1">
        <v>45393</v>
      </c>
      <c r="C9" s="1" t="str">
        <f>TEXT(Sales_Table[[#This Row],[OrderDate]],"DDDD")</f>
        <v>Thursday</v>
      </c>
      <c r="D9" s="1" t="str">
        <f>TEXT(Sales_Table[[#This Row],[OrderDate]],"MMMM")</f>
        <v>April</v>
      </c>
      <c r="E9" t="s">
        <v>15</v>
      </c>
      <c r="F9" t="s">
        <v>36</v>
      </c>
      <c r="G9">
        <v>3</v>
      </c>
      <c r="H9">
        <v>1356.6</v>
      </c>
      <c r="I9" t="str">
        <f>VLOOKUP(Sales_Table[[#This Row],[ProductID]],Product_Table[],2,FALSE)</f>
        <v>Product_24</v>
      </c>
      <c r="J9" t="str">
        <f>VLOOKUP(Sales_Table[[#This Row],[ProductID]],Product_Table[],3,FALSE)</f>
        <v>Beauty</v>
      </c>
      <c r="K9">
        <f>_xlfn.XLOOKUP(Sales_Table[[#This Row],[ProductID]],Product_Table[ProductID],Product_Table[UnitPrice],"NULL",0)</f>
        <v>452.2</v>
      </c>
      <c r="L9" t="str">
        <f>_xlfn.XLOOKUP(Sales_Table[[#This Row],[CustomerID]],Customer_Table[CustomerID],Customer_Table[CustomerName],"NULL",0)</f>
        <v>Customer_115</v>
      </c>
      <c r="M9" t="str">
        <f>INDEX(Customer_Table[Country],MATCH(Sales_Table[[#This Row],[CustomerID]],Customer_Table[CustomerID],0))</f>
        <v>Canada</v>
      </c>
      <c r="N9" t="str">
        <f>INDEX(Customer_Table[Email],MATCH(Sales_Table[[#This Row],[CustomerID]],Customer_Table[CustomerID],0))</f>
        <v>customer115@email.com</v>
      </c>
    </row>
    <row r="10" spans="1:14" x14ac:dyDescent="0.3">
      <c r="A10" t="s">
        <v>37</v>
      </c>
      <c r="B10" s="1">
        <v>45463</v>
      </c>
      <c r="C10" s="1" t="str">
        <f>TEXT(Sales_Table[[#This Row],[OrderDate]],"DDDD")</f>
        <v>Thursday</v>
      </c>
      <c r="D10" s="1" t="str">
        <f>TEXT(Sales_Table[[#This Row],[OrderDate]],"MMMM")</f>
        <v>June</v>
      </c>
      <c r="E10" t="s">
        <v>38</v>
      </c>
      <c r="F10" t="s">
        <v>36</v>
      </c>
      <c r="G10">
        <v>2</v>
      </c>
      <c r="H10">
        <v>904.4</v>
      </c>
      <c r="I10" t="str">
        <f>VLOOKUP(Sales_Table[[#This Row],[ProductID]],Product_Table[],2,FALSE)</f>
        <v>Product_24</v>
      </c>
      <c r="J10" t="str">
        <f>VLOOKUP(Sales_Table[[#This Row],[ProductID]],Product_Table[],3,FALSE)</f>
        <v>Beauty</v>
      </c>
      <c r="K10">
        <f>_xlfn.XLOOKUP(Sales_Table[[#This Row],[ProductID]],Product_Table[ProductID],Product_Table[UnitPrice],"NULL",0)</f>
        <v>452.2</v>
      </c>
      <c r="L10" t="str">
        <f>_xlfn.XLOOKUP(Sales_Table[[#This Row],[CustomerID]],Customer_Table[CustomerID],Customer_Table[CustomerName],"NULL",0)</f>
        <v>Customer_6</v>
      </c>
      <c r="M10" t="str">
        <f>INDEX(Customer_Table[Country],MATCH(Sales_Table[[#This Row],[CustomerID]],Customer_Table[CustomerID],0))</f>
        <v>United Kingdom</v>
      </c>
      <c r="N10" t="str">
        <f>INDEX(Customer_Table[Email],MATCH(Sales_Table[[#This Row],[CustomerID]],Customer_Table[CustomerID],0))</f>
        <v>customer6@email.com</v>
      </c>
    </row>
    <row r="11" spans="1:14" x14ac:dyDescent="0.3">
      <c r="A11" t="s">
        <v>39</v>
      </c>
      <c r="B11" s="1">
        <v>45409</v>
      </c>
      <c r="C11" s="1" t="str">
        <f>TEXT(Sales_Table[[#This Row],[OrderDate]],"DDDD")</f>
        <v>Saturday</v>
      </c>
      <c r="D11" s="1" t="str">
        <f>TEXT(Sales_Table[[#This Row],[OrderDate]],"MMMM")</f>
        <v>April</v>
      </c>
      <c r="E11" t="s">
        <v>40</v>
      </c>
      <c r="F11" t="s">
        <v>25</v>
      </c>
      <c r="G11">
        <v>3</v>
      </c>
      <c r="H11">
        <v>1183.3800000000001</v>
      </c>
      <c r="I11" t="str">
        <f>VLOOKUP(Sales_Table[[#This Row],[ProductID]],Product_Table[],2,FALSE)</f>
        <v>Product_6</v>
      </c>
      <c r="J11" t="str">
        <f>VLOOKUP(Sales_Table[[#This Row],[ProductID]],Product_Table[],3,FALSE)</f>
        <v>Clothing</v>
      </c>
      <c r="K11">
        <f>_xlfn.XLOOKUP(Sales_Table[[#This Row],[ProductID]],Product_Table[ProductID],Product_Table[UnitPrice],"NULL",0)</f>
        <v>394.46</v>
      </c>
      <c r="L11" t="str">
        <f>_xlfn.XLOOKUP(Sales_Table[[#This Row],[CustomerID]],Customer_Table[CustomerID],Customer_Table[CustomerName],"NULL",0)</f>
        <v>Customer_21</v>
      </c>
      <c r="M11" t="str">
        <f>INDEX(Customer_Table[Country],MATCH(Sales_Table[[#This Row],[CustomerID]],Customer_Table[CustomerID],0))</f>
        <v>United Kingdom</v>
      </c>
      <c r="N11" t="str">
        <f>INDEX(Customer_Table[Email],MATCH(Sales_Table[[#This Row],[CustomerID]],Customer_Table[CustomerID],0))</f>
        <v>customer21@email.com</v>
      </c>
    </row>
    <row r="12" spans="1:14" x14ac:dyDescent="0.3">
      <c r="A12" t="s">
        <v>41</v>
      </c>
      <c r="B12" s="1">
        <v>45310</v>
      </c>
      <c r="C12" s="1" t="str">
        <f>TEXT(Sales_Table[[#This Row],[OrderDate]],"DDDD")</f>
        <v>Friday</v>
      </c>
      <c r="D12" s="1" t="str">
        <f>TEXT(Sales_Table[[#This Row],[OrderDate]],"MMMM")</f>
        <v>January</v>
      </c>
      <c r="E12" t="s">
        <v>42</v>
      </c>
      <c r="F12" t="s">
        <v>43</v>
      </c>
      <c r="G12">
        <v>3</v>
      </c>
      <c r="H12">
        <v>877.02</v>
      </c>
      <c r="I12" t="str">
        <f>VLOOKUP(Sales_Table[[#This Row],[ProductID]],Product_Table[],2,FALSE)</f>
        <v>Product_5</v>
      </c>
      <c r="J12" t="str">
        <f>VLOOKUP(Sales_Table[[#This Row],[ProductID]],Product_Table[],3,FALSE)</f>
        <v>Sports</v>
      </c>
      <c r="K12">
        <f>_xlfn.XLOOKUP(Sales_Table[[#This Row],[ProductID]],Product_Table[ProductID],Product_Table[UnitPrice],"NULL",0)</f>
        <v>292.33999999999997</v>
      </c>
      <c r="L12" t="str">
        <f>_xlfn.XLOOKUP(Sales_Table[[#This Row],[CustomerID]],Customer_Table[CustomerID],Customer_Table[CustomerName],"NULL",0)</f>
        <v>Customer_41</v>
      </c>
      <c r="M12" t="str">
        <f>INDEX(Customer_Table[Country],MATCH(Sales_Table[[#This Row],[CustomerID]],Customer_Table[CustomerID],0))</f>
        <v>United States</v>
      </c>
      <c r="N12" t="str">
        <f>INDEX(Customer_Table[Email],MATCH(Sales_Table[[#This Row],[CustomerID]],Customer_Table[CustomerID],0))</f>
        <v>customer41@email.com</v>
      </c>
    </row>
    <row r="13" spans="1:14" x14ac:dyDescent="0.3">
      <c r="A13" t="s">
        <v>44</v>
      </c>
      <c r="B13" s="1">
        <v>45409</v>
      </c>
      <c r="C13" s="1" t="str">
        <f>TEXT(Sales_Table[[#This Row],[OrderDate]],"DDDD")</f>
        <v>Saturday</v>
      </c>
      <c r="D13" s="1" t="str">
        <f>TEXT(Sales_Table[[#This Row],[OrderDate]],"MMMM")</f>
        <v>April</v>
      </c>
      <c r="E13" t="s">
        <v>45</v>
      </c>
      <c r="F13" t="s">
        <v>46</v>
      </c>
      <c r="G13">
        <v>1</v>
      </c>
      <c r="H13">
        <v>334.32</v>
      </c>
      <c r="I13" t="str">
        <f>VLOOKUP(Sales_Table[[#This Row],[ProductID]],Product_Table[],2,FALSE)</f>
        <v>Product_28</v>
      </c>
      <c r="J13" t="str">
        <f>VLOOKUP(Sales_Table[[#This Row],[ProductID]],Product_Table[],3,FALSE)</f>
        <v>Sports</v>
      </c>
      <c r="K13">
        <f>_xlfn.XLOOKUP(Sales_Table[[#This Row],[ProductID]],Product_Table[ProductID],Product_Table[UnitPrice],"NULL",0)</f>
        <v>334.32</v>
      </c>
      <c r="L13" t="str">
        <f>_xlfn.XLOOKUP(Sales_Table[[#This Row],[CustomerID]],Customer_Table[CustomerID],Customer_Table[CustomerName],"NULL",0)</f>
        <v>Customer_110</v>
      </c>
      <c r="M13" t="str">
        <f>INDEX(Customer_Table[Country],MATCH(Sales_Table[[#This Row],[CustomerID]],Customer_Table[CustomerID],0))</f>
        <v>United States</v>
      </c>
      <c r="N13" t="str">
        <f>INDEX(Customer_Table[Email],MATCH(Sales_Table[[#This Row],[CustomerID]],Customer_Table[CustomerID],0))</f>
        <v>customer110@email.com</v>
      </c>
    </row>
    <row r="14" spans="1:14" x14ac:dyDescent="0.3">
      <c r="A14" t="s">
        <v>47</v>
      </c>
      <c r="B14" s="1">
        <v>45436</v>
      </c>
      <c r="C14" s="1" t="str">
        <f>TEXT(Sales_Table[[#This Row],[OrderDate]],"DDDD")</f>
        <v>Friday</v>
      </c>
      <c r="D14" s="1" t="str">
        <f>TEXT(Sales_Table[[#This Row],[OrderDate]],"MMMM")</f>
        <v>May</v>
      </c>
      <c r="E14" t="s">
        <v>48</v>
      </c>
      <c r="F14" t="s">
        <v>49</v>
      </c>
      <c r="G14">
        <v>5</v>
      </c>
      <c r="H14">
        <v>190.05</v>
      </c>
      <c r="I14" t="str">
        <f>VLOOKUP(Sales_Table[[#This Row],[ProductID]],Product_Table[],2,FALSE)</f>
        <v>Product_33</v>
      </c>
      <c r="J14" t="str">
        <f>VLOOKUP(Sales_Table[[#This Row],[ProductID]],Product_Table[],3,FALSE)</f>
        <v>Home</v>
      </c>
      <c r="K14">
        <f>_xlfn.XLOOKUP(Sales_Table[[#This Row],[ProductID]],Product_Table[ProductID],Product_Table[UnitPrice],"NULL",0)</f>
        <v>38.01</v>
      </c>
      <c r="L14" t="str">
        <f>_xlfn.XLOOKUP(Sales_Table[[#This Row],[CustomerID]],Customer_Table[CustomerID],Customer_Table[CustomerName],"NULL",0)</f>
        <v>Customer_25</v>
      </c>
      <c r="M14" t="str">
        <f>INDEX(Customer_Table[Country],MATCH(Sales_Table[[#This Row],[CustomerID]],Customer_Table[CustomerID],0))</f>
        <v>United Kingdom</v>
      </c>
      <c r="N14" t="str">
        <f>INDEX(Customer_Table[Email],MATCH(Sales_Table[[#This Row],[CustomerID]],Customer_Table[CustomerID],0))</f>
        <v>customer25@email.com</v>
      </c>
    </row>
    <row r="15" spans="1:14" x14ac:dyDescent="0.3">
      <c r="A15" t="s">
        <v>50</v>
      </c>
      <c r="B15" s="1">
        <v>45310</v>
      </c>
      <c r="C15" s="1" t="str">
        <f>TEXT(Sales_Table[[#This Row],[OrderDate]],"DDDD")</f>
        <v>Friday</v>
      </c>
      <c r="D15" s="1" t="str">
        <f>TEXT(Sales_Table[[#This Row],[OrderDate]],"MMMM")</f>
        <v>January</v>
      </c>
      <c r="E15" t="s">
        <v>51</v>
      </c>
      <c r="F15" t="s">
        <v>52</v>
      </c>
      <c r="G15">
        <v>1</v>
      </c>
      <c r="H15">
        <v>272.77999999999997</v>
      </c>
      <c r="I15" t="str">
        <f>VLOOKUP(Sales_Table[[#This Row],[ProductID]],Product_Table[],2,FALSE)</f>
        <v>Product_15</v>
      </c>
      <c r="J15" t="str">
        <f>VLOOKUP(Sales_Table[[#This Row],[ProductID]],Product_Table[],3,FALSE)</f>
        <v>Clothing</v>
      </c>
      <c r="K15">
        <f>_xlfn.XLOOKUP(Sales_Table[[#This Row],[ProductID]],Product_Table[ProductID],Product_Table[UnitPrice],"NULL",0)</f>
        <v>272.77999999999997</v>
      </c>
      <c r="L15" t="str">
        <f>_xlfn.XLOOKUP(Sales_Table[[#This Row],[CustomerID]],Customer_Table[CustomerID],Customer_Table[CustomerName],"NULL",0)</f>
        <v>Customer_53</v>
      </c>
      <c r="M15" t="str">
        <f>INDEX(Customer_Table[Country],MATCH(Sales_Table[[#This Row],[CustomerID]],Customer_Table[CustomerID],0))</f>
        <v>United States</v>
      </c>
      <c r="N15" t="str">
        <f>INDEX(Customer_Table[Email],MATCH(Sales_Table[[#This Row],[CustomerID]],Customer_Table[CustomerID],0))</f>
        <v>customer53@email.com</v>
      </c>
    </row>
    <row r="16" spans="1:14" x14ac:dyDescent="0.3">
      <c r="A16" t="s">
        <v>53</v>
      </c>
      <c r="B16" s="1">
        <v>45346</v>
      </c>
      <c r="C16" s="1" t="str">
        <f>TEXT(Sales_Table[[#This Row],[OrderDate]],"DDDD")</f>
        <v>Saturday</v>
      </c>
      <c r="D16" s="1" t="str">
        <f>TEXT(Sales_Table[[#This Row],[OrderDate]],"MMMM")</f>
        <v>February</v>
      </c>
      <c r="E16" t="s">
        <v>54</v>
      </c>
      <c r="F16" t="s">
        <v>22</v>
      </c>
      <c r="G16">
        <v>5</v>
      </c>
      <c r="H16">
        <v>1183.45</v>
      </c>
      <c r="I16" t="str">
        <f>VLOOKUP(Sales_Table[[#This Row],[ProductID]],Product_Table[],2,FALSE)</f>
        <v>Product_17</v>
      </c>
      <c r="J16" t="str">
        <f>VLOOKUP(Sales_Table[[#This Row],[ProductID]],Product_Table[],3,FALSE)</f>
        <v>Home</v>
      </c>
      <c r="K16">
        <f>_xlfn.XLOOKUP(Sales_Table[[#This Row],[ProductID]],Product_Table[ProductID],Product_Table[UnitPrice],"NULL",0)</f>
        <v>236.69</v>
      </c>
      <c r="L16" t="str">
        <f>_xlfn.XLOOKUP(Sales_Table[[#This Row],[CustomerID]],Customer_Table[CustomerID],Customer_Table[CustomerName],"NULL",0)</f>
        <v>Customer_43</v>
      </c>
      <c r="M16" t="str">
        <f>INDEX(Customer_Table[Country],MATCH(Sales_Table[[#This Row],[CustomerID]],Customer_Table[CustomerID],0))</f>
        <v>United Kingdom</v>
      </c>
      <c r="N16" t="str">
        <f>INDEX(Customer_Table[Email],MATCH(Sales_Table[[#This Row],[CustomerID]],Customer_Table[CustomerID],0))</f>
        <v>customer43@email.com</v>
      </c>
    </row>
    <row r="17" spans="1:14" x14ac:dyDescent="0.3">
      <c r="A17" t="s">
        <v>55</v>
      </c>
      <c r="B17" s="1">
        <v>45359</v>
      </c>
      <c r="C17" s="1" t="str">
        <f>TEXT(Sales_Table[[#This Row],[OrderDate]],"DDDD")</f>
        <v>Friday</v>
      </c>
      <c r="D17" s="1" t="str">
        <f>TEXT(Sales_Table[[#This Row],[OrderDate]],"MMMM")</f>
        <v>March</v>
      </c>
      <c r="E17" t="s">
        <v>56</v>
      </c>
      <c r="F17" t="s">
        <v>57</v>
      </c>
      <c r="G17">
        <v>5</v>
      </c>
      <c r="H17">
        <v>1469</v>
      </c>
      <c r="I17" t="str">
        <f>VLOOKUP(Sales_Table[[#This Row],[ProductID]],Product_Table[],2,FALSE)</f>
        <v>Product_31</v>
      </c>
      <c r="J17" t="str">
        <f>VLOOKUP(Sales_Table[[#This Row],[ProductID]],Product_Table[],3,FALSE)</f>
        <v>Electronics</v>
      </c>
      <c r="K17">
        <f>_xlfn.XLOOKUP(Sales_Table[[#This Row],[ProductID]],Product_Table[ProductID],Product_Table[UnitPrice],"NULL",0)</f>
        <v>293.8</v>
      </c>
      <c r="L17" t="str">
        <f>_xlfn.XLOOKUP(Sales_Table[[#This Row],[CustomerID]],Customer_Table[CustomerID],Customer_Table[CustomerName],"NULL",0)</f>
        <v>Customer_49</v>
      </c>
      <c r="M17" t="str">
        <f>INDEX(Customer_Table[Country],MATCH(Sales_Table[[#This Row],[CustomerID]],Customer_Table[CustomerID],0))</f>
        <v>Canada</v>
      </c>
      <c r="N17" t="str">
        <f>INDEX(Customer_Table[Email],MATCH(Sales_Table[[#This Row],[CustomerID]],Customer_Table[CustomerID],0))</f>
        <v>customer49@email.com</v>
      </c>
    </row>
    <row r="18" spans="1:14" x14ac:dyDescent="0.3">
      <c r="A18" t="s">
        <v>58</v>
      </c>
      <c r="B18" s="1">
        <v>45381</v>
      </c>
      <c r="C18" s="1" t="str">
        <f>TEXT(Sales_Table[[#This Row],[OrderDate]],"DDDD")</f>
        <v>Saturday</v>
      </c>
      <c r="D18" s="1" t="str">
        <f>TEXT(Sales_Table[[#This Row],[OrderDate]],"MMMM")</f>
        <v>March</v>
      </c>
      <c r="E18" t="s">
        <v>59</v>
      </c>
      <c r="F18" t="s">
        <v>60</v>
      </c>
      <c r="G18">
        <v>2</v>
      </c>
      <c r="H18">
        <v>171.7</v>
      </c>
      <c r="I18" t="str">
        <f>VLOOKUP(Sales_Table[[#This Row],[ProductID]],Product_Table[],2,FALSE)</f>
        <v>Product_29</v>
      </c>
      <c r="J18" t="str">
        <f>VLOOKUP(Sales_Table[[#This Row],[ProductID]],Product_Table[],3,FALSE)</f>
        <v>Beauty</v>
      </c>
      <c r="K18">
        <f>_xlfn.XLOOKUP(Sales_Table[[#This Row],[ProductID]],Product_Table[ProductID],Product_Table[UnitPrice],"NULL",0)</f>
        <v>85.85</v>
      </c>
      <c r="L18" t="str">
        <f>_xlfn.XLOOKUP(Sales_Table[[#This Row],[CustomerID]],Customer_Table[CustomerID],Customer_Table[CustomerName],"NULL",0)</f>
        <v>Customer_80</v>
      </c>
      <c r="M18" t="str">
        <f>INDEX(Customer_Table[Country],MATCH(Sales_Table[[#This Row],[CustomerID]],Customer_Table[CustomerID],0))</f>
        <v>United States</v>
      </c>
      <c r="N18" t="str">
        <f>INDEX(Customer_Table[Email],MATCH(Sales_Table[[#This Row],[CustomerID]],Customer_Table[CustomerID],0))</f>
        <v>customer80@email.com</v>
      </c>
    </row>
    <row r="19" spans="1:14" x14ac:dyDescent="0.3">
      <c r="A19" t="s">
        <v>61</v>
      </c>
      <c r="B19" s="1">
        <v>45354</v>
      </c>
      <c r="C19" s="1" t="str">
        <f>TEXT(Sales_Table[[#This Row],[OrderDate]],"DDDD")</f>
        <v>Sunday</v>
      </c>
      <c r="D19" s="1" t="str">
        <f>TEXT(Sales_Table[[#This Row],[OrderDate]],"MMMM")</f>
        <v>March</v>
      </c>
      <c r="E19" t="s">
        <v>62</v>
      </c>
      <c r="F19" t="s">
        <v>63</v>
      </c>
      <c r="G19">
        <v>1</v>
      </c>
      <c r="H19">
        <v>130.65</v>
      </c>
      <c r="I19" t="str">
        <f>VLOOKUP(Sales_Table[[#This Row],[ProductID]],Product_Table[],2,FALSE)</f>
        <v>Product_40</v>
      </c>
      <c r="J19" t="str">
        <f>VLOOKUP(Sales_Table[[#This Row],[ProductID]],Product_Table[],3,FALSE)</f>
        <v>Sports</v>
      </c>
      <c r="K19">
        <f>_xlfn.XLOOKUP(Sales_Table[[#This Row],[ProductID]],Product_Table[ProductID],Product_Table[UnitPrice],"NULL",0)</f>
        <v>130.65</v>
      </c>
      <c r="L19" t="str">
        <f>_xlfn.XLOOKUP(Sales_Table[[#This Row],[CustomerID]],Customer_Table[CustomerID],Customer_Table[CustomerName],"NULL",0)</f>
        <v>Customer_71</v>
      </c>
      <c r="M19" t="str">
        <f>INDEX(Customer_Table[Country],MATCH(Sales_Table[[#This Row],[CustomerID]],Customer_Table[CustomerID],0))</f>
        <v>India</v>
      </c>
      <c r="N19" t="str">
        <f>INDEX(Customer_Table[Email],MATCH(Sales_Table[[#This Row],[CustomerID]],Customer_Table[CustomerID],0))</f>
        <v>customer71@email.com</v>
      </c>
    </row>
    <row r="20" spans="1:14" x14ac:dyDescent="0.3">
      <c r="A20" t="s">
        <v>64</v>
      </c>
      <c r="B20" s="1">
        <v>45364</v>
      </c>
      <c r="C20" s="1" t="str">
        <f>TEXT(Sales_Table[[#This Row],[OrderDate]],"DDDD")</f>
        <v>Wednesday</v>
      </c>
      <c r="D20" s="1" t="str">
        <f>TEXT(Sales_Table[[#This Row],[OrderDate]],"MMMM")</f>
        <v>March</v>
      </c>
      <c r="E20" t="s">
        <v>65</v>
      </c>
      <c r="F20" t="s">
        <v>46</v>
      </c>
      <c r="G20">
        <v>3</v>
      </c>
      <c r="H20">
        <v>1002.96</v>
      </c>
      <c r="I20" t="str">
        <f>VLOOKUP(Sales_Table[[#This Row],[ProductID]],Product_Table[],2,FALSE)</f>
        <v>Product_28</v>
      </c>
      <c r="J20" t="str">
        <f>VLOOKUP(Sales_Table[[#This Row],[ProductID]],Product_Table[],3,FALSE)</f>
        <v>Sports</v>
      </c>
      <c r="K20">
        <f>_xlfn.XLOOKUP(Sales_Table[[#This Row],[ProductID]],Product_Table[ProductID],Product_Table[UnitPrice],"NULL",0)</f>
        <v>334.32</v>
      </c>
      <c r="L20" t="str">
        <f>_xlfn.XLOOKUP(Sales_Table[[#This Row],[CustomerID]],Customer_Table[CustomerID],Customer_Table[CustomerName],"NULL",0)</f>
        <v>Customer_83</v>
      </c>
      <c r="M20" t="str">
        <f>INDEX(Customer_Table[Country],MATCH(Sales_Table[[#This Row],[CustomerID]],Customer_Table[CustomerID],0))</f>
        <v>United Kingdom</v>
      </c>
      <c r="N20" t="str">
        <f>INDEX(Customer_Table[Email],MATCH(Sales_Table[[#This Row],[CustomerID]],Customer_Table[CustomerID],0))</f>
        <v>customer83@email.com</v>
      </c>
    </row>
    <row r="21" spans="1:14" x14ac:dyDescent="0.3">
      <c r="A21" t="s">
        <v>66</v>
      </c>
      <c r="B21" s="1">
        <v>45404</v>
      </c>
      <c r="C21" s="1" t="str">
        <f>TEXT(Sales_Table[[#This Row],[OrderDate]],"DDDD")</f>
        <v>Monday</v>
      </c>
      <c r="D21" s="1" t="str">
        <f>TEXT(Sales_Table[[#This Row],[OrderDate]],"MMMM")</f>
        <v>April</v>
      </c>
      <c r="E21" t="s">
        <v>38</v>
      </c>
      <c r="F21" t="s">
        <v>16</v>
      </c>
      <c r="G21">
        <v>2</v>
      </c>
      <c r="H21">
        <v>839.3</v>
      </c>
      <c r="I21" t="str">
        <f>VLOOKUP(Sales_Table[[#This Row],[ProductID]],Product_Table[],2,FALSE)</f>
        <v>Product_20</v>
      </c>
      <c r="J21" t="str">
        <f>VLOOKUP(Sales_Table[[#This Row],[ProductID]],Product_Table[],3,FALSE)</f>
        <v>Sports</v>
      </c>
      <c r="K21">
        <f>_xlfn.XLOOKUP(Sales_Table[[#This Row],[ProductID]],Product_Table[ProductID],Product_Table[UnitPrice],"NULL",0)</f>
        <v>419.65</v>
      </c>
      <c r="L21" t="str">
        <f>_xlfn.XLOOKUP(Sales_Table[[#This Row],[CustomerID]],Customer_Table[CustomerID],Customer_Table[CustomerName],"NULL",0)</f>
        <v>Customer_6</v>
      </c>
      <c r="M21" t="str">
        <f>INDEX(Customer_Table[Country],MATCH(Sales_Table[[#This Row],[CustomerID]],Customer_Table[CustomerID],0))</f>
        <v>United Kingdom</v>
      </c>
      <c r="N21" t="str">
        <f>INDEX(Customer_Table[Email],MATCH(Sales_Table[[#This Row],[CustomerID]],Customer_Table[CustomerID],0))</f>
        <v>customer6@email.com</v>
      </c>
    </row>
    <row r="22" spans="1:14" x14ac:dyDescent="0.3">
      <c r="A22" t="s">
        <v>67</v>
      </c>
      <c r="B22" s="1">
        <v>45472</v>
      </c>
      <c r="C22" s="1" t="str">
        <f>TEXT(Sales_Table[[#This Row],[OrderDate]],"DDDD")</f>
        <v>Saturday</v>
      </c>
      <c r="D22" s="1" t="str">
        <f>TEXT(Sales_Table[[#This Row],[OrderDate]],"MMMM")</f>
        <v>June</v>
      </c>
      <c r="E22" t="s">
        <v>38</v>
      </c>
      <c r="F22" t="s">
        <v>68</v>
      </c>
      <c r="G22">
        <v>5</v>
      </c>
      <c r="H22">
        <v>457.45</v>
      </c>
      <c r="I22" t="str">
        <f>VLOOKUP(Sales_Table[[#This Row],[ProductID]],Product_Table[],2,FALSE)</f>
        <v>Product_22</v>
      </c>
      <c r="J22" t="str">
        <f>VLOOKUP(Sales_Table[[#This Row],[ProductID]],Product_Table[],3,FALSE)</f>
        <v>Clothing</v>
      </c>
      <c r="K22">
        <f>_xlfn.XLOOKUP(Sales_Table[[#This Row],[ProductID]],Product_Table[ProductID],Product_Table[UnitPrice],"NULL",0)</f>
        <v>91.49</v>
      </c>
      <c r="L22" t="str">
        <f>_xlfn.XLOOKUP(Sales_Table[[#This Row],[CustomerID]],Customer_Table[CustomerID],Customer_Table[CustomerName],"NULL",0)</f>
        <v>Customer_6</v>
      </c>
      <c r="M22" t="str">
        <f>INDEX(Customer_Table[Country],MATCH(Sales_Table[[#This Row],[CustomerID]],Customer_Table[CustomerID],0))</f>
        <v>United Kingdom</v>
      </c>
      <c r="N22" t="str">
        <f>INDEX(Customer_Table[Email],MATCH(Sales_Table[[#This Row],[CustomerID]],Customer_Table[CustomerID],0))</f>
        <v>customer6@email.com</v>
      </c>
    </row>
    <row r="23" spans="1:14" x14ac:dyDescent="0.3">
      <c r="A23" t="s">
        <v>69</v>
      </c>
      <c r="B23" s="1">
        <v>45448</v>
      </c>
      <c r="C23" s="1" t="str">
        <f>TEXT(Sales_Table[[#This Row],[OrderDate]],"DDDD")</f>
        <v>Wednesday</v>
      </c>
      <c r="D23" s="1" t="str">
        <f>TEXT(Sales_Table[[#This Row],[OrderDate]],"MMMM")</f>
        <v>June</v>
      </c>
      <c r="E23" t="s">
        <v>70</v>
      </c>
      <c r="F23" t="s">
        <v>71</v>
      </c>
      <c r="G23">
        <v>3</v>
      </c>
      <c r="H23">
        <v>173.94</v>
      </c>
      <c r="I23" t="str">
        <f>VLOOKUP(Sales_Table[[#This Row],[ProductID]],Product_Table[],2,FALSE)</f>
        <v>Product_19</v>
      </c>
      <c r="J23" t="str">
        <f>VLOOKUP(Sales_Table[[#This Row],[ProductID]],Product_Table[],3,FALSE)</f>
        <v>Sports</v>
      </c>
      <c r="K23">
        <f>_xlfn.XLOOKUP(Sales_Table[[#This Row],[ProductID]],Product_Table[ProductID],Product_Table[UnitPrice],"NULL",0)</f>
        <v>57.98</v>
      </c>
      <c r="L23" t="str">
        <f>_xlfn.XLOOKUP(Sales_Table[[#This Row],[CustomerID]],Customer_Table[CustomerID],Customer_Table[CustomerName],"NULL",0)</f>
        <v>Customer_102</v>
      </c>
      <c r="M23" t="str">
        <f>INDEX(Customer_Table[Country],MATCH(Sales_Table[[#This Row],[CustomerID]],Customer_Table[CustomerID],0))</f>
        <v>Canada</v>
      </c>
      <c r="N23" t="str">
        <f>INDEX(Customer_Table[Email],MATCH(Sales_Table[[#This Row],[CustomerID]],Customer_Table[CustomerID],0))</f>
        <v>customer102@email.com</v>
      </c>
    </row>
    <row r="24" spans="1:14" x14ac:dyDescent="0.3">
      <c r="A24" t="s">
        <v>72</v>
      </c>
      <c r="B24" s="1">
        <v>45294</v>
      </c>
      <c r="C24" s="1" t="str">
        <f>TEXT(Sales_Table[[#This Row],[OrderDate]],"DDDD")</f>
        <v>Wednesday</v>
      </c>
      <c r="D24" s="1" t="str">
        <f>TEXT(Sales_Table[[#This Row],[OrderDate]],"MMMM")</f>
        <v>January</v>
      </c>
      <c r="E24" t="s">
        <v>73</v>
      </c>
      <c r="F24" t="s">
        <v>68</v>
      </c>
      <c r="G24">
        <v>5</v>
      </c>
      <c r="H24">
        <v>457.45</v>
      </c>
      <c r="I24" t="str">
        <f>VLOOKUP(Sales_Table[[#This Row],[ProductID]],Product_Table[],2,FALSE)</f>
        <v>Product_22</v>
      </c>
      <c r="J24" t="str">
        <f>VLOOKUP(Sales_Table[[#This Row],[ProductID]],Product_Table[],3,FALSE)</f>
        <v>Clothing</v>
      </c>
      <c r="K24">
        <f>_xlfn.XLOOKUP(Sales_Table[[#This Row],[ProductID]],Product_Table[ProductID],Product_Table[UnitPrice],"NULL",0)</f>
        <v>91.49</v>
      </c>
      <c r="L24" t="str">
        <f>_xlfn.XLOOKUP(Sales_Table[[#This Row],[CustomerID]],Customer_Table[CustomerID],Customer_Table[CustomerName],"NULL",0)</f>
        <v>Customer_61</v>
      </c>
      <c r="M24" t="str">
        <f>INDEX(Customer_Table[Country],MATCH(Sales_Table[[#This Row],[CustomerID]],Customer_Table[CustomerID],0))</f>
        <v>India</v>
      </c>
      <c r="N24" t="str">
        <f>INDEX(Customer_Table[Email],MATCH(Sales_Table[[#This Row],[CustomerID]],Customer_Table[CustomerID],0))</f>
        <v>customer61@email.com</v>
      </c>
    </row>
    <row r="25" spans="1:14" x14ac:dyDescent="0.3">
      <c r="A25" t="s">
        <v>74</v>
      </c>
      <c r="B25" s="1">
        <v>45368</v>
      </c>
      <c r="C25" s="1" t="str">
        <f>TEXT(Sales_Table[[#This Row],[OrderDate]],"DDDD")</f>
        <v>Sunday</v>
      </c>
      <c r="D25" s="1" t="str">
        <f>TEXT(Sales_Table[[#This Row],[OrderDate]],"MMMM")</f>
        <v>March</v>
      </c>
      <c r="E25" t="s">
        <v>75</v>
      </c>
      <c r="F25" t="s">
        <v>76</v>
      </c>
      <c r="G25">
        <v>5</v>
      </c>
      <c r="H25">
        <v>2011.45</v>
      </c>
      <c r="I25" t="str">
        <f>VLOOKUP(Sales_Table[[#This Row],[ProductID]],Product_Table[],2,FALSE)</f>
        <v>Product_13</v>
      </c>
      <c r="J25" t="str">
        <f>VLOOKUP(Sales_Table[[#This Row],[ProductID]],Product_Table[],3,FALSE)</f>
        <v>Home</v>
      </c>
      <c r="K25">
        <f>_xlfn.XLOOKUP(Sales_Table[[#This Row],[ProductID]],Product_Table[ProductID],Product_Table[UnitPrice],"NULL",0)</f>
        <v>402.29</v>
      </c>
      <c r="L25" t="str">
        <f>_xlfn.XLOOKUP(Sales_Table[[#This Row],[CustomerID]],Customer_Table[CustomerID],Customer_Table[CustomerName],"NULL",0)</f>
        <v>Customer_104</v>
      </c>
      <c r="M25" t="str">
        <f>INDEX(Customer_Table[Country],MATCH(Sales_Table[[#This Row],[CustomerID]],Customer_Table[CustomerID],0))</f>
        <v>Canada</v>
      </c>
      <c r="N25" t="str">
        <f>INDEX(Customer_Table[Email],MATCH(Sales_Table[[#This Row],[CustomerID]],Customer_Table[CustomerID],0))</f>
        <v>customer104@email.com</v>
      </c>
    </row>
    <row r="26" spans="1:14" x14ac:dyDescent="0.3">
      <c r="A26" t="s">
        <v>77</v>
      </c>
      <c r="B26" s="1">
        <v>45326</v>
      </c>
      <c r="C26" s="1" t="str">
        <f>TEXT(Sales_Table[[#This Row],[OrderDate]],"DDDD")</f>
        <v>Sunday</v>
      </c>
      <c r="D26" s="1" t="str">
        <f>TEXT(Sales_Table[[#This Row],[OrderDate]],"MMMM")</f>
        <v>February</v>
      </c>
      <c r="E26" t="s">
        <v>78</v>
      </c>
      <c r="F26" t="s">
        <v>19</v>
      </c>
      <c r="G26">
        <v>1</v>
      </c>
      <c r="H26">
        <v>39.869999999999997</v>
      </c>
      <c r="I26" t="str">
        <f>VLOOKUP(Sales_Table[[#This Row],[ProductID]],Product_Table[],2,FALSE)</f>
        <v>Product_32</v>
      </c>
      <c r="J26" t="str">
        <f>VLOOKUP(Sales_Table[[#This Row],[ProductID]],Product_Table[],3,FALSE)</f>
        <v>Sports</v>
      </c>
      <c r="K26">
        <f>_xlfn.XLOOKUP(Sales_Table[[#This Row],[ProductID]],Product_Table[ProductID],Product_Table[UnitPrice],"NULL",0)</f>
        <v>39.869999999999997</v>
      </c>
      <c r="L26" t="str">
        <f>_xlfn.XLOOKUP(Sales_Table[[#This Row],[CustomerID]],Customer_Table[CustomerID],Customer_Table[CustomerName],"NULL",0)</f>
        <v>Customer_27</v>
      </c>
      <c r="M26" t="str">
        <f>INDEX(Customer_Table[Country],MATCH(Sales_Table[[#This Row],[CustomerID]],Customer_Table[CustomerID],0))</f>
        <v>United States</v>
      </c>
      <c r="N26" t="str">
        <f>INDEX(Customer_Table[Email],MATCH(Sales_Table[[#This Row],[CustomerID]],Customer_Table[CustomerID],0))</f>
        <v>customer27@email.com</v>
      </c>
    </row>
    <row r="27" spans="1:14" x14ac:dyDescent="0.3">
      <c r="A27" t="s">
        <v>79</v>
      </c>
      <c r="B27" s="1">
        <v>45321</v>
      </c>
      <c r="C27" s="1" t="str">
        <f>TEXT(Sales_Table[[#This Row],[OrderDate]],"DDDD")</f>
        <v>Tuesday</v>
      </c>
      <c r="D27" s="1" t="str">
        <f>TEXT(Sales_Table[[#This Row],[OrderDate]],"MMMM")</f>
        <v>January</v>
      </c>
      <c r="E27" t="s">
        <v>42</v>
      </c>
      <c r="F27" t="s">
        <v>80</v>
      </c>
      <c r="G27">
        <v>3</v>
      </c>
      <c r="H27">
        <v>650.16</v>
      </c>
      <c r="I27" t="str">
        <f>VLOOKUP(Sales_Table[[#This Row],[ProductID]],Product_Table[],2,FALSE)</f>
        <v>Product_16</v>
      </c>
      <c r="J27" t="str">
        <f>VLOOKUP(Sales_Table[[#This Row],[ProductID]],Product_Table[],3,FALSE)</f>
        <v>Clothing</v>
      </c>
      <c r="K27">
        <f>_xlfn.XLOOKUP(Sales_Table[[#This Row],[ProductID]],Product_Table[ProductID],Product_Table[UnitPrice],"NULL",0)</f>
        <v>216.72</v>
      </c>
      <c r="L27" t="str">
        <f>_xlfn.XLOOKUP(Sales_Table[[#This Row],[CustomerID]],Customer_Table[CustomerID],Customer_Table[CustomerName],"NULL",0)</f>
        <v>Customer_41</v>
      </c>
      <c r="M27" t="str">
        <f>INDEX(Customer_Table[Country],MATCH(Sales_Table[[#This Row],[CustomerID]],Customer_Table[CustomerID],0))</f>
        <v>United States</v>
      </c>
      <c r="N27" t="str">
        <f>INDEX(Customer_Table[Email],MATCH(Sales_Table[[#This Row],[CustomerID]],Customer_Table[CustomerID],0))</f>
        <v>customer41@email.com</v>
      </c>
    </row>
    <row r="28" spans="1:14" x14ac:dyDescent="0.3">
      <c r="A28" t="s">
        <v>81</v>
      </c>
      <c r="B28" s="1">
        <v>45433</v>
      </c>
      <c r="C28" s="1" t="str">
        <f>TEXT(Sales_Table[[#This Row],[OrderDate]],"DDDD")</f>
        <v>Tuesday</v>
      </c>
      <c r="D28" s="1" t="str">
        <f>TEXT(Sales_Table[[#This Row],[OrderDate]],"MMMM")</f>
        <v>May</v>
      </c>
      <c r="E28" t="s">
        <v>82</v>
      </c>
      <c r="F28" t="s">
        <v>16</v>
      </c>
      <c r="G28">
        <v>1</v>
      </c>
      <c r="H28">
        <v>419.65</v>
      </c>
      <c r="I28" t="str">
        <f>VLOOKUP(Sales_Table[[#This Row],[ProductID]],Product_Table[],2,FALSE)</f>
        <v>Product_20</v>
      </c>
      <c r="J28" t="str">
        <f>VLOOKUP(Sales_Table[[#This Row],[ProductID]],Product_Table[],3,FALSE)</f>
        <v>Sports</v>
      </c>
      <c r="K28">
        <f>_xlfn.XLOOKUP(Sales_Table[[#This Row],[ProductID]],Product_Table[ProductID],Product_Table[UnitPrice],"NULL",0)</f>
        <v>419.65</v>
      </c>
      <c r="L28" t="str">
        <f>_xlfn.XLOOKUP(Sales_Table[[#This Row],[CustomerID]],Customer_Table[CustomerID],Customer_Table[CustomerName],"NULL",0)</f>
        <v>Customer_1</v>
      </c>
      <c r="M28" t="str">
        <f>INDEX(Customer_Table[Country],MATCH(Sales_Table[[#This Row],[CustomerID]],Customer_Table[CustomerID],0))</f>
        <v>India</v>
      </c>
      <c r="N28" t="str">
        <f>INDEX(Customer_Table[Email],MATCH(Sales_Table[[#This Row],[CustomerID]],Customer_Table[CustomerID],0))</f>
        <v>customer1@email.com</v>
      </c>
    </row>
    <row r="29" spans="1:14" x14ac:dyDescent="0.3">
      <c r="A29" t="s">
        <v>83</v>
      </c>
      <c r="B29" s="1">
        <v>45361</v>
      </c>
      <c r="C29" s="1" t="str">
        <f>TEXT(Sales_Table[[#This Row],[OrderDate]],"DDDD")</f>
        <v>Sunday</v>
      </c>
      <c r="D29" s="1" t="str">
        <f>TEXT(Sales_Table[[#This Row],[OrderDate]],"MMMM")</f>
        <v>March</v>
      </c>
      <c r="E29" t="s">
        <v>84</v>
      </c>
      <c r="F29" t="s">
        <v>19</v>
      </c>
      <c r="G29">
        <v>2</v>
      </c>
      <c r="H29">
        <v>79.739999999999995</v>
      </c>
      <c r="I29" t="str">
        <f>VLOOKUP(Sales_Table[[#This Row],[ProductID]],Product_Table[],2,FALSE)</f>
        <v>Product_32</v>
      </c>
      <c r="J29" t="str">
        <f>VLOOKUP(Sales_Table[[#This Row],[ProductID]],Product_Table[],3,FALSE)</f>
        <v>Sports</v>
      </c>
      <c r="K29">
        <f>_xlfn.XLOOKUP(Sales_Table[[#This Row],[ProductID]],Product_Table[ProductID],Product_Table[UnitPrice],"NULL",0)</f>
        <v>39.869999999999997</v>
      </c>
      <c r="L29" t="str">
        <f>_xlfn.XLOOKUP(Sales_Table[[#This Row],[CustomerID]],Customer_Table[CustomerID],Customer_Table[CustomerName],"NULL",0)</f>
        <v>Customer_56</v>
      </c>
      <c r="M29" t="str">
        <f>INDEX(Customer_Table[Country],MATCH(Sales_Table[[#This Row],[CustomerID]],Customer_Table[CustomerID],0))</f>
        <v>United Kingdom</v>
      </c>
      <c r="N29" t="str">
        <f>INDEX(Customer_Table[Email],MATCH(Sales_Table[[#This Row],[CustomerID]],Customer_Table[CustomerID],0))</f>
        <v>customer56@email.com</v>
      </c>
    </row>
    <row r="30" spans="1:14" x14ac:dyDescent="0.3">
      <c r="A30" t="s">
        <v>85</v>
      </c>
      <c r="B30" s="1">
        <v>45446</v>
      </c>
      <c r="C30" s="1" t="str">
        <f>TEXT(Sales_Table[[#This Row],[OrderDate]],"DDDD")</f>
        <v>Monday</v>
      </c>
      <c r="D30" s="1" t="str">
        <f>TEXT(Sales_Table[[#This Row],[OrderDate]],"MMMM")</f>
        <v>June</v>
      </c>
      <c r="E30" t="s">
        <v>86</v>
      </c>
      <c r="F30" t="s">
        <v>31</v>
      </c>
      <c r="G30">
        <v>3</v>
      </c>
      <c r="H30">
        <v>309.89999999999998</v>
      </c>
      <c r="I30" t="str">
        <f>VLOOKUP(Sales_Table[[#This Row],[ProductID]],Product_Table[],2,FALSE)</f>
        <v>Product_7</v>
      </c>
      <c r="J30" t="str">
        <f>VLOOKUP(Sales_Table[[#This Row],[ProductID]],Product_Table[],3,FALSE)</f>
        <v>Beauty</v>
      </c>
      <c r="K30">
        <f>_xlfn.XLOOKUP(Sales_Table[[#This Row],[ProductID]],Product_Table[ProductID],Product_Table[UnitPrice],"NULL",0)</f>
        <v>103.3</v>
      </c>
      <c r="L30" t="str">
        <f>_xlfn.XLOOKUP(Sales_Table[[#This Row],[CustomerID]],Customer_Table[CustomerID],Customer_Table[CustomerName],"NULL",0)</f>
        <v>Customer_34</v>
      </c>
      <c r="M30" t="str">
        <f>INDEX(Customer_Table[Country],MATCH(Sales_Table[[#This Row],[CustomerID]],Customer_Table[CustomerID],0))</f>
        <v>United States</v>
      </c>
      <c r="N30" t="str">
        <f>INDEX(Customer_Table[Email],MATCH(Sales_Table[[#This Row],[CustomerID]],Customer_Table[CustomerID],0))</f>
        <v>customer34@email.com</v>
      </c>
    </row>
    <row r="31" spans="1:14" x14ac:dyDescent="0.3">
      <c r="A31" t="s">
        <v>87</v>
      </c>
      <c r="B31" s="1">
        <v>45379</v>
      </c>
      <c r="C31" s="1" t="str">
        <f>TEXT(Sales_Table[[#This Row],[OrderDate]],"DDDD")</f>
        <v>Thursday</v>
      </c>
      <c r="D31" s="1" t="str">
        <f>TEXT(Sales_Table[[#This Row],[OrderDate]],"MMMM")</f>
        <v>March</v>
      </c>
      <c r="E31" t="s">
        <v>88</v>
      </c>
      <c r="F31" t="s">
        <v>89</v>
      </c>
      <c r="G31">
        <v>2</v>
      </c>
      <c r="H31">
        <v>866.56</v>
      </c>
      <c r="I31" t="str">
        <f>VLOOKUP(Sales_Table[[#This Row],[ProductID]],Product_Table[],2,FALSE)</f>
        <v>Product_10</v>
      </c>
      <c r="J31" t="str">
        <f>VLOOKUP(Sales_Table[[#This Row],[ProductID]],Product_Table[],3,FALSE)</f>
        <v>Beauty</v>
      </c>
      <c r="K31">
        <f>_xlfn.XLOOKUP(Sales_Table[[#This Row],[ProductID]],Product_Table[ProductID],Product_Table[UnitPrice],"NULL",0)</f>
        <v>433.28</v>
      </c>
      <c r="L31" t="str">
        <f>_xlfn.XLOOKUP(Sales_Table[[#This Row],[CustomerID]],Customer_Table[CustomerID],Customer_Table[CustomerName],"NULL",0)</f>
        <v>Customer_98</v>
      </c>
      <c r="M31" t="str">
        <f>INDEX(Customer_Table[Country],MATCH(Sales_Table[[#This Row],[CustomerID]],Customer_Table[CustomerID],0))</f>
        <v>United Kingdom</v>
      </c>
      <c r="N31" t="str">
        <f>INDEX(Customer_Table[Email],MATCH(Sales_Table[[#This Row],[CustomerID]],Customer_Table[CustomerID],0))</f>
        <v>customer98@email.com</v>
      </c>
    </row>
    <row r="32" spans="1:14" x14ac:dyDescent="0.3">
      <c r="A32" t="s">
        <v>90</v>
      </c>
      <c r="B32" s="1">
        <v>45467</v>
      </c>
      <c r="C32" s="1" t="str">
        <f>TEXT(Sales_Table[[#This Row],[OrderDate]],"DDDD")</f>
        <v>Monday</v>
      </c>
      <c r="D32" s="1" t="str">
        <f>TEXT(Sales_Table[[#This Row],[OrderDate]],"MMMM")</f>
        <v>June</v>
      </c>
      <c r="E32" t="s">
        <v>91</v>
      </c>
      <c r="F32" t="s">
        <v>71</v>
      </c>
      <c r="G32">
        <v>2</v>
      </c>
      <c r="H32">
        <v>115.96</v>
      </c>
      <c r="I32" t="str">
        <f>VLOOKUP(Sales_Table[[#This Row],[ProductID]],Product_Table[],2,FALSE)</f>
        <v>Product_19</v>
      </c>
      <c r="J32" t="str">
        <f>VLOOKUP(Sales_Table[[#This Row],[ProductID]],Product_Table[],3,FALSE)</f>
        <v>Sports</v>
      </c>
      <c r="K32">
        <f>_xlfn.XLOOKUP(Sales_Table[[#This Row],[ProductID]],Product_Table[ProductID],Product_Table[UnitPrice],"NULL",0)</f>
        <v>57.98</v>
      </c>
      <c r="L32" t="str">
        <f>_xlfn.XLOOKUP(Sales_Table[[#This Row],[CustomerID]],Customer_Table[CustomerID],Customer_Table[CustomerName],"NULL",0)</f>
        <v>Customer_82</v>
      </c>
      <c r="M32" t="str">
        <f>INDEX(Customer_Table[Country],MATCH(Sales_Table[[#This Row],[CustomerID]],Customer_Table[CustomerID],0))</f>
        <v>United Kingdom</v>
      </c>
      <c r="N32" t="str">
        <f>INDEX(Customer_Table[Email],MATCH(Sales_Table[[#This Row],[CustomerID]],Customer_Table[CustomerID],0))</f>
        <v>customer82@email.com</v>
      </c>
    </row>
    <row r="33" spans="1:14" x14ac:dyDescent="0.3">
      <c r="A33" t="s">
        <v>92</v>
      </c>
      <c r="B33" s="1">
        <v>45421</v>
      </c>
      <c r="C33" s="1" t="str">
        <f>TEXT(Sales_Table[[#This Row],[OrderDate]],"DDDD")</f>
        <v>Thursday</v>
      </c>
      <c r="D33" s="1" t="str">
        <f>TEXT(Sales_Table[[#This Row],[OrderDate]],"MMMM")</f>
        <v>May</v>
      </c>
      <c r="E33" t="s">
        <v>93</v>
      </c>
      <c r="F33" t="s">
        <v>68</v>
      </c>
      <c r="G33">
        <v>3</v>
      </c>
      <c r="H33">
        <v>274.47000000000003</v>
      </c>
      <c r="I33" t="str">
        <f>VLOOKUP(Sales_Table[[#This Row],[ProductID]],Product_Table[],2,FALSE)</f>
        <v>Product_22</v>
      </c>
      <c r="J33" t="str">
        <f>VLOOKUP(Sales_Table[[#This Row],[ProductID]],Product_Table[],3,FALSE)</f>
        <v>Clothing</v>
      </c>
      <c r="K33">
        <f>_xlfn.XLOOKUP(Sales_Table[[#This Row],[ProductID]],Product_Table[ProductID],Product_Table[UnitPrice],"NULL",0)</f>
        <v>91.49</v>
      </c>
      <c r="L33" t="str">
        <f>_xlfn.XLOOKUP(Sales_Table[[#This Row],[CustomerID]],Customer_Table[CustomerID],Customer_Table[CustomerName],"NULL",0)</f>
        <v>Customer_89</v>
      </c>
      <c r="M33" t="str">
        <f>INDEX(Customer_Table[Country],MATCH(Sales_Table[[#This Row],[CustomerID]],Customer_Table[CustomerID],0))</f>
        <v>United Kingdom</v>
      </c>
      <c r="N33" t="str">
        <f>INDEX(Customer_Table[Email],MATCH(Sales_Table[[#This Row],[CustomerID]],Customer_Table[CustomerID],0))</f>
        <v>customer89@email.com</v>
      </c>
    </row>
    <row r="34" spans="1:14" x14ac:dyDescent="0.3">
      <c r="A34" t="s">
        <v>94</v>
      </c>
      <c r="B34" s="1">
        <v>45356</v>
      </c>
      <c r="C34" s="1" t="str">
        <f>TEXT(Sales_Table[[#This Row],[OrderDate]],"DDDD")</f>
        <v>Tuesday</v>
      </c>
      <c r="D34" s="1" t="str">
        <f>TEXT(Sales_Table[[#This Row],[OrderDate]],"MMMM")</f>
        <v>March</v>
      </c>
      <c r="E34" t="s">
        <v>95</v>
      </c>
      <c r="F34" t="s">
        <v>49</v>
      </c>
      <c r="G34">
        <v>4</v>
      </c>
      <c r="H34">
        <v>152.04</v>
      </c>
      <c r="I34" t="str">
        <f>VLOOKUP(Sales_Table[[#This Row],[ProductID]],Product_Table[],2,FALSE)</f>
        <v>Product_33</v>
      </c>
      <c r="J34" t="str">
        <f>VLOOKUP(Sales_Table[[#This Row],[ProductID]],Product_Table[],3,FALSE)</f>
        <v>Home</v>
      </c>
      <c r="K34">
        <f>_xlfn.XLOOKUP(Sales_Table[[#This Row],[ProductID]],Product_Table[ProductID],Product_Table[UnitPrice],"NULL",0)</f>
        <v>38.01</v>
      </c>
      <c r="L34" t="str">
        <f>_xlfn.XLOOKUP(Sales_Table[[#This Row],[CustomerID]],Customer_Table[CustomerID],Customer_Table[CustomerName],"NULL",0)</f>
        <v>Customer_31</v>
      </c>
      <c r="M34" t="str">
        <f>INDEX(Customer_Table[Country],MATCH(Sales_Table[[#This Row],[CustomerID]],Customer_Table[CustomerID],0))</f>
        <v>United Kingdom</v>
      </c>
      <c r="N34" t="str">
        <f>INDEX(Customer_Table[Email],MATCH(Sales_Table[[#This Row],[CustomerID]],Customer_Table[CustomerID],0))</f>
        <v>customer31@email.com</v>
      </c>
    </row>
    <row r="35" spans="1:14" x14ac:dyDescent="0.3">
      <c r="A35" t="s">
        <v>96</v>
      </c>
      <c r="B35" s="1">
        <v>45315</v>
      </c>
      <c r="C35" s="1" t="str">
        <f>TEXT(Sales_Table[[#This Row],[OrderDate]],"DDDD")</f>
        <v>Wednesday</v>
      </c>
      <c r="D35" s="1" t="str">
        <f>TEXT(Sales_Table[[#This Row],[OrderDate]],"MMMM")</f>
        <v>January</v>
      </c>
      <c r="E35" t="s">
        <v>97</v>
      </c>
      <c r="F35" t="s">
        <v>46</v>
      </c>
      <c r="G35">
        <v>1</v>
      </c>
      <c r="H35">
        <v>334.32</v>
      </c>
      <c r="I35" t="str">
        <f>VLOOKUP(Sales_Table[[#This Row],[ProductID]],Product_Table[],2,FALSE)</f>
        <v>Product_28</v>
      </c>
      <c r="J35" t="str">
        <f>VLOOKUP(Sales_Table[[#This Row],[ProductID]],Product_Table[],3,FALSE)</f>
        <v>Sports</v>
      </c>
      <c r="K35">
        <f>_xlfn.XLOOKUP(Sales_Table[[#This Row],[ProductID]],Product_Table[ProductID],Product_Table[UnitPrice],"NULL",0)</f>
        <v>334.32</v>
      </c>
      <c r="L35" t="str">
        <f>_xlfn.XLOOKUP(Sales_Table[[#This Row],[CustomerID]],Customer_Table[CustomerID],Customer_Table[CustomerName],"NULL",0)</f>
        <v>Customer_2</v>
      </c>
      <c r="M35" t="str">
        <f>INDEX(Customer_Table[Country],MATCH(Sales_Table[[#This Row],[CustomerID]],Customer_Table[CustomerID],0))</f>
        <v>United Kingdom</v>
      </c>
      <c r="N35" t="str">
        <f>INDEX(Customer_Table[Email],MATCH(Sales_Table[[#This Row],[CustomerID]],Customer_Table[CustomerID],0))</f>
        <v>customer2@email.com</v>
      </c>
    </row>
    <row r="36" spans="1:14" x14ac:dyDescent="0.3">
      <c r="A36" t="s">
        <v>98</v>
      </c>
      <c r="B36" s="1">
        <v>45362</v>
      </c>
      <c r="C36" s="1" t="str">
        <f>TEXT(Sales_Table[[#This Row],[OrderDate]],"DDDD")</f>
        <v>Monday</v>
      </c>
      <c r="D36" s="1" t="str">
        <f>TEXT(Sales_Table[[#This Row],[OrderDate]],"MMMM")</f>
        <v>March</v>
      </c>
      <c r="E36" t="s">
        <v>99</v>
      </c>
      <c r="F36" t="s">
        <v>43</v>
      </c>
      <c r="G36">
        <v>4</v>
      </c>
      <c r="H36">
        <v>1169.3599999999999</v>
      </c>
      <c r="I36" t="str">
        <f>VLOOKUP(Sales_Table[[#This Row],[ProductID]],Product_Table[],2,FALSE)</f>
        <v>Product_5</v>
      </c>
      <c r="J36" t="str">
        <f>VLOOKUP(Sales_Table[[#This Row],[ProductID]],Product_Table[],3,FALSE)</f>
        <v>Sports</v>
      </c>
      <c r="K36">
        <f>_xlfn.XLOOKUP(Sales_Table[[#This Row],[ProductID]],Product_Table[ProductID],Product_Table[UnitPrice],"NULL",0)</f>
        <v>292.33999999999997</v>
      </c>
      <c r="L36" t="str">
        <f>_xlfn.XLOOKUP(Sales_Table[[#This Row],[CustomerID]],Customer_Table[CustomerID],Customer_Table[CustomerName],"NULL",0)</f>
        <v>Customer_92</v>
      </c>
      <c r="M36" t="str">
        <f>INDEX(Customer_Table[Country],MATCH(Sales_Table[[#This Row],[CustomerID]],Customer_Table[CustomerID],0))</f>
        <v>Canada</v>
      </c>
      <c r="N36" t="str">
        <f>INDEX(Customer_Table[Email],MATCH(Sales_Table[[#This Row],[CustomerID]],Customer_Table[CustomerID],0))</f>
        <v>customer92@email.com</v>
      </c>
    </row>
    <row r="37" spans="1:14" x14ac:dyDescent="0.3">
      <c r="A37" t="s">
        <v>100</v>
      </c>
      <c r="B37" s="1">
        <v>45292</v>
      </c>
      <c r="C37" s="1" t="str">
        <f>TEXT(Sales_Table[[#This Row],[OrderDate]],"DDDD")</f>
        <v>Monday</v>
      </c>
      <c r="D37" s="1" t="str">
        <f>TEXT(Sales_Table[[#This Row],[OrderDate]],"MMMM")</f>
        <v>January</v>
      </c>
      <c r="E37" t="s">
        <v>101</v>
      </c>
      <c r="F37" t="s">
        <v>60</v>
      </c>
      <c r="G37">
        <v>1</v>
      </c>
      <c r="H37">
        <v>85.85</v>
      </c>
      <c r="I37" t="str">
        <f>VLOOKUP(Sales_Table[[#This Row],[ProductID]],Product_Table[],2,FALSE)</f>
        <v>Product_29</v>
      </c>
      <c r="J37" t="str">
        <f>VLOOKUP(Sales_Table[[#This Row],[ProductID]],Product_Table[],3,FALSE)</f>
        <v>Beauty</v>
      </c>
      <c r="K37">
        <f>_xlfn.XLOOKUP(Sales_Table[[#This Row],[ProductID]],Product_Table[ProductID],Product_Table[UnitPrice],"NULL",0)</f>
        <v>85.85</v>
      </c>
      <c r="L37" t="str">
        <f>_xlfn.XLOOKUP(Sales_Table[[#This Row],[CustomerID]],Customer_Table[CustomerID],Customer_Table[CustomerName],"NULL",0)</f>
        <v>Customer_73</v>
      </c>
      <c r="M37" t="str">
        <f>INDEX(Customer_Table[Country],MATCH(Sales_Table[[#This Row],[CustomerID]],Customer_Table[CustomerID],0))</f>
        <v>United States</v>
      </c>
      <c r="N37" t="str">
        <f>INDEX(Customer_Table[Email],MATCH(Sales_Table[[#This Row],[CustomerID]],Customer_Table[CustomerID],0))</f>
        <v>customer73@email.com</v>
      </c>
    </row>
    <row r="38" spans="1:14" x14ac:dyDescent="0.3">
      <c r="A38" t="s">
        <v>102</v>
      </c>
      <c r="B38" s="1">
        <v>45325</v>
      </c>
      <c r="C38" s="1" t="str">
        <f>TEXT(Sales_Table[[#This Row],[OrderDate]],"DDDD")</f>
        <v>Saturday</v>
      </c>
      <c r="D38" s="1" t="str">
        <f>TEXT(Sales_Table[[#This Row],[OrderDate]],"MMMM")</f>
        <v>February</v>
      </c>
      <c r="E38" t="s">
        <v>103</v>
      </c>
      <c r="F38" t="s">
        <v>76</v>
      </c>
      <c r="G38">
        <v>3</v>
      </c>
      <c r="H38">
        <v>1206.8699999999999</v>
      </c>
      <c r="I38" t="str">
        <f>VLOOKUP(Sales_Table[[#This Row],[ProductID]],Product_Table[],2,FALSE)</f>
        <v>Product_13</v>
      </c>
      <c r="J38" t="str">
        <f>VLOOKUP(Sales_Table[[#This Row],[ProductID]],Product_Table[],3,FALSE)</f>
        <v>Home</v>
      </c>
      <c r="K38">
        <f>_xlfn.XLOOKUP(Sales_Table[[#This Row],[ProductID]],Product_Table[ProductID],Product_Table[UnitPrice],"NULL",0)</f>
        <v>402.29</v>
      </c>
      <c r="L38" t="str">
        <f>_xlfn.XLOOKUP(Sales_Table[[#This Row],[CustomerID]],Customer_Table[CustomerID],Customer_Table[CustomerName],"NULL",0)</f>
        <v>Customer_99</v>
      </c>
      <c r="M38" t="str">
        <f>INDEX(Customer_Table[Country],MATCH(Sales_Table[[#This Row],[CustomerID]],Customer_Table[CustomerID],0))</f>
        <v>United Kingdom</v>
      </c>
      <c r="N38" t="str">
        <f>INDEX(Customer_Table[Email],MATCH(Sales_Table[[#This Row],[CustomerID]],Customer_Table[CustomerID],0))</f>
        <v>customer99@email.com</v>
      </c>
    </row>
    <row r="39" spans="1:14" x14ac:dyDescent="0.3">
      <c r="A39" t="s">
        <v>104</v>
      </c>
      <c r="B39" s="1">
        <v>45333</v>
      </c>
      <c r="C39" s="1" t="str">
        <f>TEXT(Sales_Table[[#This Row],[OrderDate]],"DDDD")</f>
        <v>Sunday</v>
      </c>
      <c r="D39" s="1" t="str">
        <f>TEXT(Sales_Table[[#This Row],[OrderDate]],"MMMM")</f>
        <v>February</v>
      </c>
      <c r="E39" t="s">
        <v>105</v>
      </c>
      <c r="F39" t="s">
        <v>106</v>
      </c>
      <c r="G39">
        <v>3</v>
      </c>
      <c r="H39">
        <v>395.52</v>
      </c>
      <c r="I39" t="str">
        <f>VLOOKUP(Sales_Table[[#This Row],[ProductID]],Product_Table[],2,FALSE)</f>
        <v>Product_14</v>
      </c>
      <c r="J39" t="str">
        <f>VLOOKUP(Sales_Table[[#This Row],[ProductID]],Product_Table[],3,FALSE)</f>
        <v>Electronics</v>
      </c>
      <c r="K39">
        <f>_xlfn.XLOOKUP(Sales_Table[[#This Row],[ProductID]],Product_Table[ProductID],Product_Table[UnitPrice],"NULL",0)</f>
        <v>131.84</v>
      </c>
      <c r="L39" t="str">
        <f>_xlfn.XLOOKUP(Sales_Table[[#This Row],[CustomerID]],Customer_Table[CustomerID],Customer_Table[CustomerName],"NULL",0)</f>
        <v>Customer_14</v>
      </c>
      <c r="M39" t="str">
        <f>INDEX(Customer_Table[Country],MATCH(Sales_Table[[#This Row],[CustomerID]],Customer_Table[CustomerID],0))</f>
        <v>United States</v>
      </c>
      <c r="N39" t="str">
        <f>INDEX(Customer_Table[Email],MATCH(Sales_Table[[#This Row],[CustomerID]],Customer_Table[CustomerID],0))</f>
        <v>customer14@email.com</v>
      </c>
    </row>
    <row r="40" spans="1:14" x14ac:dyDescent="0.3">
      <c r="A40" t="s">
        <v>107</v>
      </c>
      <c r="B40" s="1">
        <v>45433</v>
      </c>
      <c r="C40" s="1" t="str">
        <f>TEXT(Sales_Table[[#This Row],[OrderDate]],"DDDD")</f>
        <v>Tuesday</v>
      </c>
      <c r="D40" s="1" t="str">
        <f>TEXT(Sales_Table[[#This Row],[OrderDate]],"MMMM")</f>
        <v>May</v>
      </c>
      <c r="E40" t="s">
        <v>65</v>
      </c>
      <c r="F40" t="s">
        <v>31</v>
      </c>
      <c r="G40">
        <v>4</v>
      </c>
      <c r="H40">
        <v>413.2</v>
      </c>
      <c r="I40" t="str">
        <f>VLOOKUP(Sales_Table[[#This Row],[ProductID]],Product_Table[],2,FALSE)</f>
        <v>Product_7</v>
      </c>
      <c r="J40" t="str">
        <f>VLOOKUP(Sales_Table[[#This Row],[ProductID]],Product_Table[],3,FALSE)</f>
        <v>Beauty</v>
      </c>
      <c r="K40">
        <f>_xlfn.XLOOKUP(Sales_Table[[#This Row],[ProductID]],Product_Table[ProductID],Product_Table[UnitPrice],"NULL",0)</f>
        <v>103.3</v>
      </c>
      <c r="L40" t="str">
        <f>_xlfn.XLOOKUP(Sales_Table[[#This Row],[CustomerID]],Customer_Table[CustomerID],Customer_Table[CustomerName],"NULL",0)</f>
        <v>Customer_83</v>
      </c>
      <c r="M40" t="str">
        <f>INDEX(Customer_Table[Country],MATCH(Sales_Table[[#This Row],[CustomerID]],Customer_Table[CustomerID],0))</f>
        <v>United Kingdom</v>
      </c>
      <c r="N40" t="str">
        <f>INDEX(Customer_Table[Email],MATCH(Sales_Table[[#This Row],[CustomerID]],Customer_Table[CustomerID],0))</f>
        <v>customer83@email.com</v>
      </c>
    </row>
    <row r="41" spans="1:14" x14ac:dyDescent="0.3">
      <c r="A41" t="s">
        <v>108</v>
      </c>
      <c r="B41" s="1">
        <v>45435</v>
      </c>
      <c r="C41" s="1" t="str">
        <f>TEXT(Sales_Table[[#This Row],[OrderDate]],"DDDD")</f>
        <v>Thursday</v>
      </c>
      <c r="D41" s="1" t="str">
        <f>TEXT(Sales_Table[[#This Row],[OrderDate]],"MMMM")</f>
        <v>May</v>
      </c>
      <c r="E41" t="s">
        <v>109</v>
      </c>
      <c r="F41" t="s">
        <v>60</v>
      </c>
      <c r="G41">
        <v>4</v>
      </c>
      <c r="H41">
        <v>343.4</v>
      </c>
      <c r="I41" t="str">
        <f>VLOOKUP(Sales_Table[[#This Row],[ProductID]],Product_Table[],2,FALSE)</f>
        <v>Product_29</v>
      </c>
      <c r="J41" t="str">
        <f>VLOOKUP(Sales_Table[[#This Row],[ProductID]],Product_Table[],3,FALSE)</f>
        <v>Beauty</v>
      </c>
      <c r="K41">
        <f>_xlfn.XLOOKUP(Sales_Table[[#This Row],[ProductID]],Product_Table[ProductID],Product_Table[UnitPrice],"NULL",0)</f>
        <v>85.85</v>
      </c>
      <c r="L41" t="str">
        <f>_xlfn.XLOOKUP(Sales_Table[[#This Row],[CustomerID]],Customer_Table[CustomerID],Customer_Table[CustomerName],"NULL",0)</f>
        <v>Customer_81</v>
      </c>
      <c r="M41" t="str">
        <f>INDEX(Customer_Table[Country],MATCH(Sales_Table[[#This Row],[CustomerID]],Customer_Table[CustomerID],0))</f>
        <v>United States</v>
      </c>
      <c r="N41" t="str">
        <f>INDEX(Customer_Table[Email],MATCH(Sales_Table[[#This Row],[CustomerID]],Customer_Table[CustomerID],0))</f>
        <v>customer81@email.com</v>
      </c>
    </row>
    <row r="42" spans="1:14" x14ac:dyDescent="0.3">
      <c r="A42" t="s">
        <v>110</v>
      </c>
      <c r="B42" s="1">
        <v>45320</v>
      </c>
      <c r="C42" s="1" t="str">
        <f>TEXT(Sales_Table[[#This Row],[OrderDate]],"DDDD")</f>
        <v>Monday</v>
      </c>
      <c r="D42" s="1" t="str">
        <f>TEXT(Sales_Table[[#This Row],[OrderDate]],"MMMM")</f>
        <v>January</v>
      </c>
      <c r="E42" t="s">
        <v>88</v>
      </c>
      <c r="F42" t="s">
        <v>111</v>
      </c>
      <c r="G42">
        <v>1</v>
      </c>
      <c r="H42">
        <v>139.94999999999999</v>
      </c>
      <c r="I42" t="str">
        <f>VLOOKUP(Sales_Table[[#This Row],[ProductID]],Product_Table[],2,FALSE)</f>
        <v>Product_26</v>
      </c>
      <c r="J42" t="str">
        <f>VLOOKUP(Sales_Table[[#This Row],[ProductID]],Product_Table[],3,FALSE)</f>
        <v>Beauty</v>
      </c>
      <c r="K42">
        <f>_xlfn.XLOOKUP(Sales_Table[[#This Row],[ProductID]],Product_Table[ProductID],Product_Table[UnitPrice],"NULL",0)</f>
        <v>139.94999999999999</v>
      </c>
      <c r="L42" t="str">
        <f>_xlfn.XLOOKUP(Sales_Table[[#This Row],[CustomerID]],Customer_Table[CustomerID],Customer_Table[CustomerName],"NULL",0)</f>
        <v>Customer_98</v>
      </c>
      <c r="M42" t="str">
        <f>INDEX(Customer_Table[Country],MATCH(Sales_Table[[#This Row],[CustomerID]],Customer_Table[CustomerID],0))</f>
        <v>United Kingdom</v>
      </c>
      <c r="N42" t="str">
        <f>INDEX(Customer_Table[Email],MATCH(Sales_Table[[#This Row],[CustomerID]],Customer_Table[CustomerID],0))</f>
        <v>customer98@email.com</v>
      </c>
    </row>
    <row r="43" spans="1:14" x14ac:dyDescent="0.3">
      <c r="A43" t="s">
        <v>112</v>
      </c>
      <c r="B43" s="1">
        <v>45468</v>
      </c>
      <c r="C43" s="1" t="str">
        <f>TEXT(Sales_Table[[#This Row],[OrderDate]],"DDDD")</f>
        <v>Tuesday</v>
      </c>
      <c r="D43" s="1" t="str">
        <f>TEXT(Sales_Table[[#This Row],[OrderDate]],"MMMM")</f>
        <v>June</v>
      </c>
      <c r="E43" t="s">
        <v>113</v>
      </c>
      <c r="F43" t="s">
        <v>22</v>
      </c>
      <c r="G43">
        <v>1</v>
      </c>
      <c r="H43">
        <v>236.69</v>
      </c>
      <c r="I43" t="str">
        <f>VLOOKUP(Sales_Table[[#This Row],[ProductID]],Product_Table[],2,FALSE)</f>
        <v>Product_17</v>
      </c>
      <c r="J43" t="str">
        <f>VLOOKUP(Sales_Table[[#This Row],[ProductID]],Product_Table[],3,FALSE)</f>
        <v>Home</v>
      </c>
      <c r="K43">
        <f>_xlfn.XLOOKUP(Sales_Table[[#This Row],[ProductID]],Product_Table[ProductID],Product_Table[UnitPrice],"NULL",0)</f>
        <v>236.69</v>
      </c>
      <c r="L43" t="str">
        <f>_xlfn.XLOOKUP(Sales_Table[[#This Row],[CustomerID]],Customer_Table[CustomerID],Customer_Table[CustomerName],"NULL",0)</f>
        <v>Customer_100</v>
      </c>
      <c r="M43" t="str">
        <f>INDEX(Customer_Table[Country],MATCH(Sales_Table[[#This Row],[CustomerID]],Customer_Table[CustomerID],0))</f>
        <v>United Kingdom</v>
      </c>
      <c r="N43" t="str">
        <f>INDEX(Customer_Table[Email],MATCH(Sales_Table[[#This Row],[CustomerID]],Customer_Table[CustomerID],0))</f>
        <v>customer100@email.com</v>
      </c>
    </row>
    <row r="44" spans="1:14" x14ac:dyDescent="0.3">
      <c r="A44" t="s">
        <v>114</v>
      </c>
      <c r="B44" s="1">
        <v>45431</v>
      </c>
      <c r="C44" s="1" t="str">
        <f>TEXT(Sales_Table[[#This Row],[OrderDate]],"DDDD")</f>
        <v>Sunday</v>
      </c>
      <c r="D44" s="1" t="str">
        <f>TEXT(Sales_Table[[#This Row],[OrderDate]],"MMMM")</f>
        <v>May</v>
      </c>
      <c r="E44" t="s">
        <v>115</v>
      </c>
      <c r="F44" t="s">
        <v>116</v>
      </c>
      <c r="G44">
        <v>2</v>
      </c>
      <c r="H44">
        <v>98.5</v>
      </c>
      <c r="I44" t="str">
        <f>VLOOKUP(Sales_Table[[#This Row],[ProductID]],Product_Table[],2,FALSE)</f>
        <v>Product_36</v>
      </c>
      <c r="J44" t="str">
        <f>VLOOKUP(Sales_Table[[#This Row],[ProductID]],Product_Table[],3,FALSE)</f>
        <v>Sports</v>
      </c>
      <c r="K44">
        <f>_xlfn.XLOOKUP(Sales_Table[[#This Row],[ProductID]],Product_Table[ProductID],Product_Table[UnitPrice],"NULL",0)</f>
        <v>49.25</v>
      </c>
      <c r="L44" t="str">
        <f>_xlfn.XLOOKUP(Sales_Table[[#This Row],[CustomerID]],Customer_Table[CustomerID],Customer_Table[CustomerName],"NULL",0)</f>
        <v>Customer_86</v>
      </c>
      <c r="M44" t="str">
        <f>INDEX(Customer_Table[Country],MATCH(Sales_Table[[#This Row],[CustomerID]],Customer_Table[CustomerID],0))</f>
        <v>India</v>
      </c>
      <c r="N44" t="str">
        <f>INDEX(Customer_Table[Email],MATCH(Sales_Table[[#This Row],[CustomerID]],Customer_Table[CustomerID],0))</f>
        <v>customer86@email.com</v>
      </c>
    </row>
    <row r="45" spans="1:14" x14ac:dyDescent="0.3">
      <c r="A45" t="s">
        <v>117</v>
      </c>
      <c r="B45" s="1">
        <v>45386</v>
      </c>
      <c r="C45" s="1" t="str">
        <f>TEXT(Sales_Table[[#This Row],[OrderDate]],"DDDD")</f>
        <v>Thursday</v>
      </c>
      <c r="D45" s="1" t="str">
        <f>TEXT(Sales_Table[[#This Row],[OrderDate]],"MMMM")</f>
        <v>April</v>
      </c>
      <c r="E45" t="s">
        <v>65</v>
      </c>
      <c r="F45" t="s">
        <v>46</v>
      </c>
      <c r="G45">
        <v>1</v>
      </c>
      <c r="H45">
        <v>334.32</v>
      </c>
      <c r="I45" t="str">
        <f>VLOOKUP(Sales_Table[[#This Row],[ProductID]],Product_Table[],2,FALSE)</f>
        <v>Product_28</v>
      </c>
      <c r="J45" t="str">
        <f>VLOOKUP(Sales_Table[[#This Row],[ProductID]],Product_Table[],3,FALSE)</f>
        <v>Sports</v>
      </c>
      <c r="K45">
        <f>_xlfn.XLOOKUP(Sales_Table[[#This Row],[ProductID]],Product_Table[ProductID],Product_Table[UnitPrice],"NULL",0)</f>
        <v>334.32</v>
      </c>
      <c r="L45" t="str">
        <f>_xlfn.XLOOKUP(Sales_Table[[#This Row],[CustomerID]],Customer_Table[CustomerID],Customer_Table[CustomerName],"NULL",0)</f>
        <v>Customer_83</v>
      </c>
      <c r="M45" t="str">
        <f>INDEX(Customer_Table[Country],MATCH(Sales_Table[[#This Row],[CustomerID]],Customer_Table[CustomerID],0))</f>
        <v>United Kingdom</v>
      </c>
      <c r="N45" t="str">
        <f>INDEX(Customer_Table[Email],MATCH(Sales_Table[[#This Row],[CustomerID]],Customer_Table[CustomerID],0))</f>
        <v>customer83@email.com</v>
      </c>
    </row>
    <row r="46" spans="1:14" x14ac:dyDescent="0.3">
      <c r="A46" t="s">
        <v>118</v>
      </c>
      <c r="B46" s="1">
        <v>45433</v>
      </c>
      <c r="C46" s="1" t="str">
        <f>TEXT(Sales_Table[[#This Row],[OrderDate]],"DDDD")</f>
        <v>Tuesday</v>
      </c>
      <c r="D46" s="1" t="str">
        <f>TEXT(Sales_Table[[#This Row],[OrderDate]],"MMMM")</f>
        <v>May</v>
      </c>
      <c r="E46" t="s">
        <v>119</v>
      </c>
      <c r="F46" t="s">
        <v>52</v>
      </c>
      <c r="G46">
        <v>5</v>
      </c>
      <c r="H46">
        <v>1363.9</v>
      </c>
      <c r="I46" t="str">
        <f>VLOOKUP(Sales_Table[[#This Row],[ProductID]],Product_Table[],2,FALSE)</f>
        <v>Product_15</v>
      </c>
      <c r="J46" t="str">
        <f>VLOOKUP(Sales_Table[[#This Row],[ProductID]],Product_Table[],3,FALSE)</f>
        <v>Clothing</v>
      </c>
      <c r="K46">
        <f>_xlfn.XLOOKUP(Sales_Table[[#This Row],[ProductID]],Product_Table[ProductID],Product_Table[UnitPrice],"NULL",0)</f>
        <v>272.77999999999997</v>
      </c>
      <c r="L46" t="str">
        <f>_xlfn.XLOOKUP(Sales_Table[[#This Row],[CustomerID]],Customer_Table[CustomerID],Customer_Table[CustomerName],"NULL",0)</f>
        <v>Customer_59</v>
      </c>
      <c r="M46" t="str">
        <f>INDEX(Customer_Table[Country],MATCH(Sales_Table[[#This Row],[CustomerID]],Customer_Table[CustomerID],0))</f>
        <v>United Kingdom</v>
      </c>
      <c r="N46" t="str">
        <f>INDEX(Customer_Table[Email],MATCH(Sales_Table[[#This Row],[CustomerID]],Customer_Table[CustomerID],0))</f>
        <v>customer59@email.com</v>
      </c>
    </row>
    <row r="47" spans="1:14" x14ac:dyDescent="0.3">
      <c r="A47" t="s">
        <v>120</v>
      </c>
      <c r="B47" s="1">
        <v>45402</v>
      </c>
      <c r="C47" s="1" t="str">
        <f>TEXT(Sales_Table[[#This Row],[OrderDate]],"DDDD")</f>
        <v>Saturday</v>
      </c>
      <c r="D47" s="1" t="str">
        <f>TEXT(Sales_Table[[#This Row],[OrderDate]],"MMMM")</f>
        <v>April</v>
      </c>
      <c r="E47" t="s">
        <v>121</v>
      </c>
      <c r="F47" t="s">
        <v>122</v>
      </c>
      <c r="G47">
        <v>2</v>
      </c>
      <c r="H47">
        <v>454.26</v>
      </c>
      <c r="I47" t="str">
        <f>VLOOKUP(Sales_Table[[#This Row],[ProductID]],Product_Table[],2,FALSE)</f>
        <v>Product_18</v>
      </c>
      <c r="J47" t="str">
        <f>VLOOKUP(Sales_Table[[#This Row],[ProductID]],Product_Table[],3,FALSE)</f>
        <v>Electronics</v>
      </c>
      <c r="K47">
        <f>_xlfn.XLOOKUP(Sales_Table[[#This Row],[ProductID]],Product_Table[ProductID],Product_Table[UnitPrice],"NULL",0)</f>
        <v>227.13</v>
      </c>
      <c r="L47" t="str">
        <f>_xlfn.XLOOKUP(Sales_Table[[#This Row],[CustomerID]],Customer_Table[CustomerID],Customer_Table[CustomerName],"NULL",0)</f>
        <v>Customer_50</v>
      </c>
      <c r="M47" t="str">
        <f>INDEX(Customer_Table[Country],MATCH(Sales_Table[[#This Row],[CustomerID]],Customer_Table[CustomerID],0))</f>
        <v>India</v>
      </c>
      <c r="N47" t="str">
        <f>INDEX(Customer_Table[Email],MATCH(Sales_Table[[#This Row],[CustomerID]],Customer_Table[CustomerID],0))</f>
        <v>customer50@email.com</v>
      </c>
    </row>
    <row r="48" spans="1:14" x14ac:dyDescent="0.3">
      <c r="A48" t="s">
        <v>123</v>
      </c>
      <c r="B48" s="1">
        <v>45302</v>
      </c>
      <c r="C48" s="1" t="str">
        <f>TEXT(Sales_Table[[#This Row],[OrderDate]],"DDDD")</f>
        <v>Thursday</v>
      </c>
      <c r="D48" s="1" t="str">
        <f>TEXT(Sales_Table[[#This Row],[OrderDate]],"MMMM")</f>
        <v>January</v>
      </c>
      <c r="E48" t="s">
        <v>124</v>
      </c>
      <c r="F48" t="s">
        <v>43</v>
      </c>
      <c r="G48">
        <v>2</v>
      </c>
      <c r="H48">
        <v>584.67999999999995</v>
      </c>
      <c r="I48" t="str">
        <f>VLOOKUP(Sales_Table[[#This Row],[ProductID]],Product_Table[],2,FALSE)</f>
        <v>Product_5</v>
      </c>
      <c r="J48" t="str">
        <f>VLOOKUP(Sales_Table[[#This Row],[ProductID]],Product_Table[],3,FALSE)</f>
        <v>Sports</v>
      </c>
      <c r="K48">
        <f>_xlfn.XLOOKUP(Sales_Table[[#This Row],[ProductID]],Product_Table[ProductID],Product_Table[UnitPrice],"NULL",0)</f>
        <v>292.33999999999997</v>
      </c>
      <c r="L48" t="str">
        <f>_xlfn.XLOOKUP(Sales_Table[[#This Row],[CustomerID]],Customer_Table[CustomerID],Customer_Table[CustomerName],"NULL",0)</f>
        <v>Customer_116</v>
      </c>
      <c r="M48" t="str">
        <f>INDEX(Customer_Table[Country],MATCH(Sales_Table[[#This Row],[CustomerID]],Customer_Table[CustomerID],0))</f>
        <v>United Kingdom</v>
      </c>
      <c r="N48" t="str">
        <f>INDEX(Customer_Table[Email],MATCH(Sales_Table[[#This Row],[CustomerID]],Customer_Table[CustomerID],0))</f>
        <v>customer116@email.com</v>
      </c>
    </row>
    <row r="49" spans="1:14" x14ac:dyDescent="0.3">
      <c r="A49" t="s">
        <v>125</v>
      </c>
      <c r="B49" s="1">
        <v>45385</v>
      </c>
      <c r="C49" s="1" t="str">
        <f>TEXT(Sales_Table[[#This Row],[OrderDate]],"DDDD")</f>
        <v>Wednesday</v>
      </c>
      <c r="D49" s="1" t="str">
        <f>TEXT(Sales_Table[[#This Row],[OrderDate]],"MMMM")</f>
        <v>April</v>
      </c>
      <c r="E49" t="s">
        <v>82</v>
      </c>
      <c r="F49" t="s">
        <v>68</v>
      </c>
      <c r="G49">
        <v>3</v>
      </c>
      <c r="H49">
        <v>274.47000000000003</v>
      </c>
      <c r="I49" t="str">
        <f>VLOOKUP(Sales_Table[[#This Row],[ProductID]],Product_Table[],2,FALSE)</f>
        <v>Product_22</v>
      </c>
      <c r="J49" t="str">
        <f>VLOOKUP(Sales_Table[[#This Row],[ProductID]],Product_Table[],3,FALSE)</f>
        <v>Clothing</v>
      </c>
      <c r="K49">
        <f>_xlfn.XLOOKUP(Sales_Table[[#This Row],[ProductID]],Product_Table[ProductID],Product_Table[UnitPrice],"NULL",0)</f>
        <v>91.49</v>
      </c>
      <c r="L49" t="str">
        <f>_xlfn.XLOOKUP(Sales_Table[[#This Row],[CustomerID]],Customer_Table[CustomerID],Customer_Table[CustomerName],"NULL",0)</f>
        <v>Customer_1</v>
      </c>
      <c r="M49" t="str">
        <f>INDEX(Customer_Table[Country],MATCH(Sales_Table[[#This Row],[CustomerID]],Customer_Table[CustomerID],0))</f>
        <v>India</v>
      </c>
      <c r="N49" t="str">
        <f>INDEX(Customer_Table[Email],MATCH(Sales_Table[[#This Row],[CustomerID]],Customer_Table[CustomerID],0))</f>
        <v>customer1@email.com</v>
      </c>
    </row>
    <row r="50" spans="1:14" x14ac:dyDescent="0.3">
      <c r="A50" t="s">
        <v>126</v>
      </c>
      <c r="B50" s="1">
        <v>45383</v>
      </c>
      <c r="C50" s="1" t="str">
        <f>TEXT(Sales_Table[[#This Row],[OrderDate]],"DDDD")</f>
        <v>Monday</v>
      </c>
      <c r="D50" s="1" t="str">
        <f>TEXT(Sales_Table[[#This Row],[OrderDate]],"MMMM")</f>
        <v>April</v>
      </c>
      <c r="E50" t="s">
        <v>21</v>
      </c>
      <c r="F50" t="s">
        <v>36</v>
      </c>
      <c r="G50">
        <v>1</v>
      </c>
      <c r="H50">
        <v>452.2</v>
      </c>
      <c r="I50" t="str">
        <f>VLOOKUP(Sales_Table[[#This Row],[ProductID]],Product_Table[],2,FALSE)</f>
        <v>Product_24</v>
      </c>
      <c r="J50" t="str">
        <f>VLOOKUP(Sales_Table[[#This Row],[ProductID]],Product_Table[],3,FALSE)</f>
        <v>Beauty</v>
      </c>
      <c r="K50">
        <f>_xlfn.XLOOKUP(Sales_Table[[#This Row],[ProductID]],Product_Table[ProductID],Product_Table[UnitPrice],"NULL",0)</f>
        <v>452.2</v>
      </c>
      <c r="L50" t="str">
        <f>_xlfn.XLOOKUP(Sales_Table[[#This Row],[CustomerID]],Customer_Table[CustomerID],Customer_Table[CustomerName],"NULL",0)</f>
        <v>Customer_91</v>
      </c>
      <c r="M50" t="str">
        <f>INDEX(Customer_Table[Country],MATCH(Sales_Table[[#This Row],[CustomerID]],Customer_Table[CustomerID],0))</f>
        <v>Canada</v>
      </c>
      <c r="N50" t="str">
        <f>INDEX(Customer_Table[Email],MATCH(Sales_Table[[#This Row],[CustomerID]],Customer_Table[CustomerID],0))</f>
        <v>customer91@email.com</v>
      </c>
    </row>
    <row r="51" spans="1:14" x14ac:dyDescent="0.3">
      <c r="A51" t="s">
        <v>127</v>
      </c>
      <c r="B51" s="1">
        <v>45466</v>
      </c>
      <c r="C51" s="1" t="str">
        <f>TEXT(Sales_Table[[#This Row],[OrderDate]],"DDDD")</f>
        <v>Sunday</v>
      </c>
      <c r="D51" s="1" t="str">
        <f>TEXT(Sales_Table[[#This Row],[OrderDate]],"MMMM")</f>
        <v>June</v>
      </c>
      <c r="E51" t="s">
        <v>128</v>
      </c>
      <c r="F51" t="s">
        <v>57</v>
      </c>
      <c r="G51">
        <v>2</v>
      </c>
      <c r="H51">
        <v>587.6</v>
      </c>
      <c r="I51" t="str">
        <f>VLOOKUP(Sales_Table[[#This Row],[ProductID]],Product_Table[],2,FALSE)</f>
        <v>Product_31</v>
      </c>
      <c r="J51" t="str">
        <f>VLOOKUP(Sales_Table[[#This Row],[ProductID]],Product_Table[],3,FALSE)</f>
        <v>Electronics</v>
      </c>
      <c r="K51">
        <f>_xlfn.XLOOKUP(Sales_Table[[#This Row],[ProductID]],Product_Table[ProductID],Product_Table[UnitPrice],"NULL",0)</f>
        <v>293.8</v>
      </c>
      <c r="L51" t="str">
        <f>_xlfn.XLOOKUP(Sales_Table[[#This Row],[CustomerID]],Customer_Table[CustomerID],Customer_Table[CustomerName],"NULL",0)</f>
        <v>Customer_96</v>
      </c>
      <c r="M51" t="str">
        <f>INDEX(Customer_Table[Country],MATCH(Sales_Table[[#This Row],[CustomerID]],Customer_Table[CustomerID],0))</f>
        <v>United Kingdom</v>
      </c>
      <c r="N51" t="str">
        <f>INDEX(Customer_Table[Email],MATCH(Sales_Table[[#This Row],[CustomerID]],Customer_Table[CustomerID],0))</f>
        <v>customer96@email.com</v>
      </c>
    </row>
    <row r="52" spans="1:14" x14ac:dyDescent="0.3">
      <c r="A52" t="s">
        <v>129</v>
      </c>
      <c r="B52" s="1">
        <v>45462</v>
      </c>
      <c r="C52" s="1" t="str">
        <f>TEXT(Sales_Table[[#This Row],[OrderDate]],"DDDD")</f>
        <v>Wednesday</v>
      </c>
      <c r="D52" s="1" t="str">
        <f>TEXT(Sales_Table[[#This Row],[OrderDate]],"MMMM")</f>
        <v>June</v>
      </c>
      <c r="E52" t="s">
        <v>33</v>
      </c>
      <c r="F52" t="s">
        <v>130</v>
      </c>
      <c r="G52">
        <v>2</v>
      </c>
      <c r="H52">
        <v>174.28</v>
      </c>
      <c r="I52" t="str">
        <f>VLOOKUP(Sales_Table[[#This Row],[ProductID]],Product_Table[],2,FALSE)</f>
        <v>Product_35</v>
      </c>
      <c r="J52" t="str">
        <f>VLOOKUP(Sales_Table[[#This Row],[ProductID]],Product_Table[],3,FALSE)</f>
        <v>Sports</v>
      </c>
      <c r="K52">
        <f>_xlfn.XLOOKUP(Sales_Table[[#This Row],[ProductID]],Product_Table[ProductID],Product_Table[UnitPrice],"NULL",0)</f>
        <v>87.14</v>
      </c>
      <c r="L52" t="str">
        <f>_xlfn.XLOOKUP(Sales_Table[[#This Row],[CustomerID]],Customer_Table[CustomerID],Customer_Table[CustomerName],"NULL",0)</f>
        <v>Customer_60</v>
      </c>
      <c r="M52" t="str">
        <f>INDEX(Customer_Table[Country],MATCH(Sales_Table[[#This Row],[CustomerID]],Customer_Table[CustomerID],0))</f>
        <v>United Kingdom</v>
      </c>
      <c r="N52" t="str">
        <f>INDEX(Customer_Table[Email],MATCH(Sales_Table[[#This Row],[CustomerID]],Customer_Table[CustomerID],0))</f>
        <v>customer60@email.com</v>
      </c>
    </row>
    <row r="53" spans="1:14" x14ac:dyDescent="0.3">
      <c r="A53" t="s">
        <v>131</v>
      </c>
      <c r="B53" s="1">
        <v>45382</v>
      </c>
      <c r="C53" s="1" t="str">
        <f>TEXT(Sales_Table[[#This Row],[OrderDate]],"DDDD")</f>
        <v>Sunday</v>
      </c>
      <c r="D53" s="1" t="str">
        <f>TEXT(Sales_Table[[#This Row],[OrderDate]],"MMMM")</f>
        <v>March</v>
      </c>
      <c r="E53" t="s">
        <v>33</v>
      </c>
      <c r="F53" t="s">
        <v>132</v>
      </c>
      <c r="G53">
        <v>1</v>
      </c>
      <c r="H53">
        <v>39.700000000000003</v>
      </c>
      <c r="I53" t="str">
        <f>VLOOKUP(Sales_Table[[#This Row],[ProductID]],Product_Table[],2,FALSE)</f>
        <v>Product_12</v>
      </c>
      <c r="J53" t="str">
        <f>VLOOKUP(Sales_Table[[#This Row],[ProductID]],Product_Table[],3,FALSE)</f>
        <v>Electronics</v>
      </c>
      <c r="K53">
        <f>_xlfn.XLOOKUP(Sales_Table[[#This Row],[ProductID]],Product_Table[ProductID],Product_Table[UnitPrice],"NULL",0)</f>
        <v>39.700000000000003</v>
      </c>
      <c r="L53" t="str">
        <f>_xlfn.XLOOKUP(Sales_Table[[#This Row],[CustomerID]],Customer_Table[CustomerID],Customer_Table[CustomerName],"NULL",0)</f>
        <v>Customer_60</v>
      </c>
      <c r="M53" t="str">
        <f>INDEX(Customer_Table[Country],MATCH(Sales_Table[[#This Row],[CustomerID]],Customer_Table[CustomerID],0))</f>
        <v>United Kingdom</v>
      </c>
      <c r="N53" t="str">
        <f>INDEX(Customer_Table[Email],MATCH(Sales_Table[[#This Row],[CustomerID]],Customer_Table[CustomerID],0))</f>
        <v>customer60@email.com</v>
      </c>
    </row>
    <row r="54" spans="1:14" x14ac:dyDescent="0.3">
      <c r="A54" t="s">
        <v>133</v>
      </c>
      <c r="B54" s="1">
        <v>45396</v>
      </c>
      <c r="C54" s="1" t="str">
        <f>TEXT(Sales_Table[[#This Row],[OrderDate]],"DDDD")</f>
        <v>Sunday</v>
      </c>
      <c r="D54" s="1" t="str">
        <f>TEXT(Sales_Table[[#This Row],[OrderDate]],"MMMM")</f>
        <v>April</v>
      </c>
      <c r="E54" t="s">
        <v>134</v>
      </c>
      <c r="F54" t="s">
        <v>89</v>
      </c>
      <c r="G54">
        <v>5</v>
      </c>
      <c r="H54">
        <v>2166.4</v>
      </c>
      <c r="I54" t="str">
        <f>VLOOKUP(Sales_Table[[#This Row],[ProductID]],Product_Table[],2,FALSE)</f>
        <v>Product_10</v>
      </c>
      <c r="J54" t="str">
        <f>VLOOKUP(Sales_Table[[#This Row],[ProductID]],Product_Table[],3,FALSE)</f>
        <v>Beauty</v>
      </c>
      <c r="K54">
        <f>_xlfn.XLOOKUP(Sales_Table[[#This Row],[ProductID]],Product_Table[ProductID],Product_Table[UnitPrice],"NULL",0)</f>
        <v>433.28</v>
      </c>
      <c r="L54" t="str">
        <f>_xlfn.XLOOKUP(Sales_Table[[#This Row],[CustomerID]],Customer_Table[CustomerID],Customer_Table[CustomerName],"NULL",0)</f>
        <v>Customer_42</v>
      </c>
      <c r="M54" t="str">
        <f>INDEX(Customer_Table[Country],MATCH(Sales_Table[[#This Row],[CustomerID]],Customer_Table[CustomerID],0))</f>
        <v>India</v>
      </c>
      <c r="N54" t="str">
        <f>INDEX(Customer_Table[Email],MATCH(Sales_Table[[#This Row],[CustomerID]],Customer_Table[CustomerID],0))</f>
        <v>customer42@email.com</v>
      </c>
    </row>
    <row r="55" spans="1:14" x14ac:dyDescent="0.3">
      <c r="A55" t="s">
        <v>135</v>
      </c>
      <c r="B55" s="1">
        <v>45331</v>
      </c>
      <c r="C55" s="1" t="str">
        <f>TEXT(Sales_Table[[#This Row],[OrderDate]],"DDDD")</f>
        <v>Friday</v>
      </c>
      <c r="D55" s="1" t="str">
        <f>TEXT(Sales_Table[[#This Row],[OrderDate]],"MMMM")</f>
        <v>February</v>
      </c>
      <c r="E55" t="s">
        <v>136</v>
      </c>
      <c r="F55" t="s">
        <v>137</v>
      </c>
      <c r="G55">
        <v>5</v>
      </c>
      <c r="H55">
        <v>583.35</v>
      </c>
      <c r="I55" t="str">
        <f>VLOOKUP(Sales_Table[[#This Row],[ProductID]],Product_Table[],2,FALSE)</f>
        <v>Product_30</v>
      </c>
      <c r="J55" t="str">
        <f>VLOOKUP(Sales_Table[[#This Row],[ProductID]],Product_Table[],3,FALSE)</f>
        <v>Home</v>
      </c>
      <c r="K55">
        <f>_xlfn.XLOOKUP(Sales_Table[[#This Row],[ProductID]],Product_Table[ProductID],Product_Table[UnitPrice],"NULL",0)</f>
        <v>116.67</v>
      </c>
      <c r="L55" t="str">
        <f>_xlfn.XLOOKUP(Sales_Table[[#This Row],[CustomerID]],Customer_Table[CustomerID],Customer_Table[CustomerName],"NULL",0)</f>
        <v>Customer_85</v>
      </c>
      <c r="M55" t="str">
        <f>INDEX(Customer_Table[Country],MATCH(Sales_Table[[#This Row],[CustomerID]],Customer_Table[CustomerID],0))</f>
        <v>Canada</v>
      </c>
      <c r="N55" t="str">
        <f>INDEX(Customer_Table[Email],MATCH(Sales_Table[[#This Row],[CustomerID]],Customer_Table[CustomerID],0))</f>
        <v>customer85@email.com</v>
      </c>
    </row>
    <row r="56" spans="1:14" x14ac:dyDescent="0.3">
      <c r="A56" t="s">
        <v>138</v>
      </c>
      <c r="B56" s="1">
        <v>45333</v>
      </c>
      <c r="C56" s="1" t="str">
        <f>TEXT(Sales_Table[[#This Row],[OrderDate]],"DDDD")</f>
        <v>Sunday</v>
      </c>
      <c r="D56" s="1" t="str">
        <f>TEXT(Sales_Table[[#This Row],[OrderDate]],"MMMM")</f>
        <v>February</v>
      </c>
      <c r="E56" t="s">
        <v>139</v>
      </c>
      <c r="F56" t="s">
        <v>140</v>
      </c>
      <c r="G56">
        <v>2</v>
      </c>
      <c r="H56">
        <v>675.6</v>
      </c>
      <c r="I56" t="str">
        <f>VLOOKUP(Sales_Table[[#This Row],[ProductID]],Product_Table[],2,FALSE)</f>
        <v>Product_3</v>
      </c>
      <c r="J56" t="str">
        <f>VLOOKUP(Sales_Table[[#This Row],[ProductID]],Product_Table[],3,FALSE)</f>
        <v>Home</v>
      </c>
      <c r="K56">
        <f>_xlfn.XLOOKUP(Sales_Table[[#This Row],[ProductID]],Product_Table[ProductID],Product_Table[UnitPrice],"NULL",0)</f>
        <v>337.8</v>
      </c>
      <c r="L56" t="str">
        <f>_xlfn.XLOOKUP(Sales_Table[[#This Row],[CustomerID]],Customer_Table[CustomerID],Customer_Table[CustomerName],"NULL",0)</f>
        <v>Customer_84</v>
      </c>
      <c r="M56" t="str">
        <f>INDEX(Customer_Table[Country],MATCH(Sales_Table[[#This Row],[CustomerID]],Customer_Table[CustomerID],0))</f>
        <v>Canada</v>
      </c>
      <c r="N56" t="str">
        <f>INDEX(Customer_Table[Email],MATCH(Sales_Table[[#This Row],[CustomerID]],Customer_Table[CustomerID],0))</f>
        <v>customer84@email.com</v>
      </c>
    </row>
    <row r="57" spans="1:14" x14ac:dyDescent="0.3">
      <c r="A57" t="s">
        <v>141</v>
      </c>
      <c r="B57" s="1">
        <v>45397</v>
      </c>
      <c r="C57" s="1" t="str">
        <f>TEXT(Sales_Table[[#This Row],[OrderDate]],"DDDD")</f>
        <v>Monday</v>
      </c>
      <c r="D57" s="1" t="str">
        <f>TEXT(Sales_Table[[#This Row],[OrderDate]],"MMMM")</f>
        <v>April</v>
      </c>
      <c r="E57" t="s">
        <v>45</v>
      </c>
      <c r="F57" t="s">
        <v>34</v>
      </c>
      <c r="G57">
        <v>2</v>
      </c>
      <c r="H57">
        <v>299.54000000000002</v>
      </c>
      <c r="I57" t="str">
        <f>VLOOKUP(Sales_Table[[#This Row],[ProductID]],Product_Table[],2,FALSE)</f>
        <v>Product_27</v>
      </c>
      <c r="J57" t="str">
        <f>VLOOKUP(Sales_Table[[#This Row],[ProductID]],Product_Table[],3,FALSE)</f>
        <v>Beauty</v>
      </c>
      <c r="K57">
        <f>_xlfn.XLOOKUP(Sales_Table[[#This Row],[ProductID]],Product_Table[ProductID],Product_Table[UnitPrice],"NULL",0)</f>
        <v>149.77000000000001</v>
      </c>
      <c r="L57" t="str">
        <f>_xlfn.XLOOKUP(Sales_Table[[#This Row],[CustomerID]],Customer_Table[CustomerID],Customer_Table[CustomerName],"NULL",0)</f>
        <v>Customer_110</v>
      </c>
      <c r="M57" t="str">
        <f>INDEX(Customer_Table[Country],MATCH(Sales_Table[[#This Row],[CustomerID]],Customer_Table[CustomerID],0))</f>
        <v>United States</v>
      </c>
      <c r="N57" t="str">
        <f>INDEX(Customer_Table[Email],MATCH(Sales_Table[[#This Row],[CustomerID]],Customer_Table[CustomerID],0))</f>
        <v>customer110@email.com</v>
      </c>
    </row>
    <row r="58" spans="1:14" x14ac:dyDescent="0.3">
      <c r="A58" t="s">
        <v>142</v>
      </c>
      <c r="B58" s="1">
        <v>45337</v>
      </c>
      <c r="C58" s="1" t="str">
        <f>TEXT(Sales_Table[[#This Row],[OrderDate]],"DDDD")</f>
        <v>Thursday</v>
      </c>
      <c r="D58" s="1" t="str">
        <f>TEXT(Sales_Table[[#This Row],[OrderDate]],"MMMM")</f>
        <v>February</v>
      </c>
      <c r="E58" t="s">
        <v>143</v>
      </c>
      <c r="F58" t="s">
        <v>144</v>
      </c>
      <c r="G58">
        <v>1</v>
      </c>
      <c r="H58">
        <v>431.22</v>
      </c>
      <c r="I58" t="str">
        <f>VLOOKUP(Sales_Table[[#This Row],[ProductID]],Product_Table[],2,FALSE)</f>
        <v>Product_1</v>
      </c>
      <c r="J58" t="str">
        <f>VLOOKUP(Sales_Table[[#This Row],[ProductID]],Product_Table[],3,FALSE)</f>
        <v>Electronics</v>
      </c>
      <c r="K58">
        <f>_xlfn.XLOOKUP(Sales_Table[[#This Row],[ProductID]],Product_Table[ProductID],Product_Table[UnitPrice],"NULL",0)</f>
        <v>431.22</v>
      </c>
      <c r="L58" t="str">
        <f>_xlfn.XLOOKUP(Sales_Table[[#This Row],[CustomerID]],Customer_Table[CustomerID],Customer_Table[CustomerName],"NULL",0)</f>
        <v>Customer_5</v>
      </c>
      <c r="M58" t="str">
        <f>INDEX(Customer_Table[Country],MATCH(Sales_Table[[#This Row],[CustomerID]],Customer_Table[CustomerID],0))</f>
        <v>India</v>
      </c>
      <c r="N58" t="str">
        <f>INDEX(Customer_Table[Email],MATCH(Sales_Table[[#This Row],[CustomerID]],Customer_Table[CustomerID],0))</f>
        <v>customer5@email.com</v>
      </c>
    </row>
    <row r="59" spans="1:14" x14ac:dyDescent="0.3">
      <c r="A59" t="s">
        <v>145</v>
      </c>
      <c r="B59" s="1">
        <v>45397</v>
      </c>
      <c r="C59" s="1" t="str">
        <f>TEXT(Sales_Table[[#This Row],[OrderDate]],"DDDD")</f>
        <v>Monday</v>
      </c>
      <c r="D59" s="1" t="str">
        <f>TEXT(Sales_Table[[#This Row],[OrderDate]],"MMMM")</f>
        <v>April</v>
      </c>
      <c r="E59" t="s">
        <v>93</v>
      </c>
      <c r="F59" t="s">
        <v>76</v>
      </c>
      <c r="G59">
        <v>3</v>
      </c>
      <c r="H59">
        <v>1206.8699999999999</v>
      </c>
      <c r="I59" t="str">
        <f>VLOOKUP(Sales_Table[[#This Row],[ProductID]],Product_Table[],2,FALSE)</f>
        <v>Product_13</v>
      </c>
      <c r="J59" t="str">
        <f>VLOOKUP(Sales_Table[[#This Row],[ProductID]],Product_Table[],3,FALSE)</f>
        <v>Home</v>
      </c>
      <c r="K59">
        <f>_xlfn.XLOOKUP(Sales_Table[[#This Row],[ProductID]],Product_Table[ProductID],Product_Table[UnitPrice],"NULL",0)</f>
        <v>402.29</v>
      </c>
      <c r="L59" t="str">
        <f>_xlfn.XLOOKUP(Sales_Table[[#This Row],[CustomerID]],Customer_Table[CustomerID],Customer_Table[CustomerName],"NULL",0)</f>
        <v>Customer_89</v>
      </c>
      <c r="M59" t="str">
        <f>INDEX(Customer_Table[Country],MATCH(Sales_Table[[#This Row],[CustomerID]],Customer_Table[CustomerID],0))</f>
        <v>United Kingdom</v>
      </c>
      <c r="N59" t="str">
        <f>INDEX(Customer_Table[Email],MATCH(Sales_Table[[#This Row],[CustomerID]],Customer_Table[CustomerID],0))</f>
        <v>customer89@email.com</v>
      </c>
    </row>
    <row r="60" spans="1:14" x14ac:dyDescent="0.3">
      <c r="A60" t="s">
        <v>146</v>
      </c>
      <c r="B60" s="1">
        <v>45360</v>
      </c>
      <c r="C60" s="1" t="str">
        <f>TEXT(Sales_Table[[#This Row],[OrderDate]],"DDDD")</f>
        <v>Saturday</v>
      </c>
      <c r="D60" s="1" t="str">
        <f>TEXT(Sales_Table[[#This Row],[OrderDate]],"MMMM")</f>
        <v>March</v>
      </c>
      <c r="E60" t="s">
        <v>147</v>
      </c>
      <c r="F60" t="s">
        <v>80</v>
      </c>
      <c r="G60">
        <v>2</v>
      </c>
      <c r="H60">
        <v>433.44</v>
      </c>
      <c r="I60" t="str">
        <f>VLOOKUP(Sales_Table[[#This Row],[ProductID]],Product_Table[],2,FALSE)</f>
        <v>Product_16</v>
      </c>
      <c r="J60" t="str">
        <f>VLOOKUP(Sales_Table[[#This Row],[ProductID]],Product_Table[],3,FALSE)</f>
        <v>Clothing</v>
      </c>
      <c r="K60">
        <f>_xlfn.XLOOKUP(Sales_Table[[#This Row],[ProductID]],Product_Table[ProductID],Product_Table[UnitPrice],"NULL",0)</f>
        <v>216.72</v>
      </c>
      <c r="L60" t="str">
        <f>_xlfn.XLOOKUP(Sales_Table[[#This Row],[CustomerID]],Customer_Table[CustomerID],Customer_Table[CustomerName],"NULL",0)</f>
        <v>Customer_30</v>
      </c>
      <c r="M60" t="str">
        <f>INDEX(Customer_Table[Country],MATCH(Sales_Table[[#This Row],[CustomerID]],Customer_Table[CustomerID],0))</f>
        <v>United States</v>
      </c>
      <c r="N60" t="str">
        <f>INDEX(Customer_Table[Email],MATCH(Sales_Table[[#This Row],[CustomerID]],Customer_Table[CustomerID],0))</f>
        <v>customer30@email.com</v>
      </c>
    </row>
    <row r="61" spans="1:14" x14ac:dyDescent="0.3">
      <c r="A61" t="s">
        <v>148</v>
      </c>
      <c r="B61" s="1">
        <v>45471</v>
      </c>
      <c r="C61" s="1" t="str">
        <f>TEXT(Sales_Table[[#This Row],[OrderDate]],"DDDD")</f>
        <v>Friday</v>
      </c>
      <c r="D61" s="1" t="str">
        <f>TEXT(Sales_Table[[#This Row],[OrderDate]],"MMMM")</f>
        <v>June</v>
      </c>
      <c r="E61" t="s">
        <v>149</v>
      </c>
      <c r="F61" t="s">
        <v>36</v>
      </c>
      <c r="G61">
        <v>2</v>
      </c>
      <c r="H61">
        <v>904.4</v>
      </c>
      <c r="I61" t="str">
        <f>VLOOKUP(Sales_Table[[#This Row],[ProductID]],Product_Table[],2,FALSE)</f>
        <v>Product_24</v>
      </c>
      <c r="J61" t="str">
        <f>VLOOKUP(Sales_Table[[#This Row],[ProductID]],Product_Table[],3,FALSE)</f>
        <v>Beauty</v>
      </c>
      <c r="K61">
        <f>_xlfn.XLOOKUP(Sales_Table[[#This Row],[ProductID]],Product_Table[ProductID],Product_Table[UnitPrice],"NULL",0)</f>
        <v>452.2</v>
      </c>
      <c r="L61" t="str">
        <f>_xlfn.XLOOKUP(Sales_Table[[#This Row],[CustomerID]],Customer_Table[CustomerID],Customer_Table[CustomerName],"NULL",0)</f>
        <v>Customer_101</v>
      </c>
      <c r="M61" t="str">
        <f>INDEX(Customer_Table[Country],MATCH(Sales_Table[[#This Row],[CustomerID]],Customer_Table[CustomerID],0))</f>
        <v>India</v>
      </c>
      <c r="N61" t="str">
        <f>INDEX(Customer_Table[Email],MATCH(Sales_Table[[#This Row],[CustomerID]],Customer_Table[CustomerID],0))</f>
        <v>customer101@email.com</v>
      </c>
    </row>
    <row r="62" spans="1:14" x14ac:dyDescent="0.3">
      <c r="A62" t="s">
        <v>150</v>
      </c>
      <c r="B62" s="1">
        <v>45389</v>
      </c>
      <c r="C62" s="1" t="str">
        <f>TEXT(Sales_Table[[#This Row],[OrderDate]],"DDDD")</f>
        <v>Sunday</v>
      </c>
      <c r="D62" s="1" t="str">
        <f>TEXT(Sales_Table[[#This Row],[OrderDate]],"MMMM")</f>
        <v>April</v>
      </c>
      <c r="E62" t="s">
        <v>151</v>
      </c>
      <c r="F62" t="s">
        <v>89</v>
      </c>
      <c r="G62">
        <v>1</v>
      </c>
      <c r="H62">
        <v>433.28</v>
      </c>
      <c r="I62" t="str">
        <f>VLOOKUP(Sales_Table[[#This Row],[ProductID]],Product_Table[],2,FALSE)</f>
        <v>Product_10</v>
      </c>
      <c r="J62" t="str">
        <f>VLOOKUP(Sales_Table[[#This Row],[ProductID]],Product_Table[],3,FALSE)</f>
        <v>Beauty</v>
      </c>
      <c r="K62">
        <f>_xlfn.XLOOKUP(Sales_Table[[#This Row],[ProductID]],Product_Table[ProductID],Product_Table[UnitPrice],"NULL",0)</f>
        <v>433.28</v>
      </c>
      <c r="L62" t="str">
        <f>_xlfn.XLOOKUP(Sales_Table[[#This Row],[CustomerID]],Customer_Table[CustomerID],Customer_Table[CustomerName],"NULL",0)</f>
        <v>Customer_75</v>
      </c>
      <c r="M62" t="str">
        <f>INDEX(Customer_Table[Country],MATCH(Sales_Table[[#This Row],[CustomerID]],Customer_Table[CustomerID],0))</f>
        <v>Canada</v>
      </c>
      <c r="N62" t="str">
        <f>INDEX(Customer_Table[Email],MATCH(Sales_Table[[#This Row],[CustomerID]],Customer_Table[CustomerID],0))</f>
        <v>customer75@email.com</v>
      </c>
    </row>
    <row r="63" spans="1:14" x14ac:dyDescent="0.3">
      <c r="A63" t="s">
        <v>152</v>
      </c>
      <c r="B63" s="1">
        <v>45412</v>
      </c>
      <c r="C63" s="1" t="str">
        <f>TEXT(Sales_Table[[#This Row],[OrderDate]],"DDDD")</f>
        <v>Tuesday</v>
      </c>
      <c r="D63" s="1" t="str">
        <f>TEXT(Sales_Table[[#This Row],[OrderDate]],"MMMM")</f>
        <v>April</v>
      </c>
      <c r="E63" t="s">
        <v>153</v>
      </c>
      <c r="F63" t="s">
        <v>154</v>
      </c>
      <c r="G63">
        <v>1</v>
      </c>
      <c r="H63">
        <v>332.9</v>
      </c>
      <c r="I63" t="str">
        <f>VLOOKUP(Sales_Table[[#This Row],[ProductID]],Product_Table[],2,FALSE)</f>
        <v>Product_8</v>
      </c>
      <c r="J63" t="str">
        <f>VLOOKUP(Sales_Table[[#This Row],[ProductID]],Product_Table[],3,FALSE)</f>
        <v>Electronics</v>
      </c>
      <c r="K63">
        <f>_xlfn.XLOOKUP(Sales_Table[[#This Row],[ProductID]],Product_Table[ProductID],Product_Table[UnitPrice],"NULL",0)</f>
        <v>332.9</v>
      </c>
      <c r="L63" t="str">
        <f>_xlfn.XLOOKUP(Sales_Table[[#This Row],[CustomerID]],Customer_Table[CustomerID],Customer_Table[CustomerName],"NULL",0)</f>
        <v>Customer_66</v>
      </c>
      <c r="M63" t="str">
        <f>INDEX(Customer_Table[Country],MATCH(Sales_Table[[#This Row],[CustomerID]],Customer_Table[CustomerID],0))</f>
        <v>United Kingdom</v>
      </c>
      <c r="N63" t="str">
        <f>INDEX(Customer_Table[Email],MATCH(Sales_Table[[#This Row],[CustomerID]],Customer_Table[CustomerID],0))</f>
        <v>customer66@email.com</v>
      </c>
    </row>
    <row r="64" spans="1:14" x14ac:dyDescent="0.3">
      <c r="A64" t="s">
        <v>155</v>
      </c>
      <c r="B64" s="1">
        <v>45343</v>
      </c>
      <c r="C64" s="1" t="str">
        <f>TEXT(Sales_Table[[#This Row],[OrderDate]],"DDDD")</f>
        <v>Wednesday</v>
      </c>
      <c r="D64" s="1" t="str">
        <f>TEXT(Sales_Table[[#This Row],[OrderDate]],"MMMM")</f>
        <v>February</v>
      </c>
      <c r="E64" t="s">
        <v>113</v>
      </c>
      <c r="F64" t="s">
        <v>156</v>
      </c>
      <c r="G64">
        <v>2</v>
      </c>
      <c r="H64">
        <v>679.9</v>
      </c>
      <c r="I64" t="str">
        <f>VLOOKUP(Sales_Table[[#This Row],[ProductID]],Product_Table[],2,FALSE)</f>
        <v>Product_11</v>
      </c>
      <c r="J64" t="str">
        <f>VLOOKUP(Sales_Table[[#This Row],[ProductID]],Product_Table[],3,FALSE)</f>
        <v>Electronics</v>
      </c>
      <c r="K64">
        <f>_xlfn.XLOOKUP(Sales_Table[[#This Row],[ProductID]],Product_Table[ProductID],Product_Table[UnitPrice],"NULL",0)</f>
        <v>339.95</v>
      </c>
      <c r="L64" t="str">
        <f>_xlfn.XLOOKUP(Sales_Table[[#This Row],[CustomerID]],Customer_Table[CustomerID],Customer_Table[CustomerName],"NULL",0)</f>
        <v>Customer_100</v>
      </c>
      <c r="M64" t="str">
        <f>INDEX(Customer_Table[Country],MATCH(Sales_Table[[#This Row],[CustomerID]],Customer_Table[CustomerID],0))</f>
        <v>United Kingdom</v>
      </c>
      <c r="N64" t="str">
        <f>INDEX(Customer_Table[Email],MATCH(Sales_Table[[#This Row],[CustomerID]],Customer_Table[CustomerID],0))</f>
        <v>customer100@email.com</v>
      </c>
    </row>
    <row r="65" spans="1:14" x14ac:dyDescent="0.3">
      <c r="A65" t="s">
        <v>157</v>
      </c>
      <c r="B65" s="1">
        <v>45381</v>
      </c>
      <c r="C65" s="1" t="str">
        <f>TEXT(Sales_Table[[#This Row],[OrderDate]],"DDDD")</f>
        <v>Saturday</v>
      </c>
      <c r="D65" s="1" t="str">
        <f>TEXT(Sales_Table[[#This Row],[OrderDate]],"MMMM")</f>
        <v>March</v>
      </c>
      <c r="E65" t="s">
        <v>158</v>
      </c>
      <c r="F65" t="s">
        <v>132</v>
      </c>
      <c r="G65">
        <v>4</v>
      </c>
      <c r="H65">
        <v>158.80000000000001</v>
      </c>
      <c r="I65" t="str">
        <f>VLOOKUP(Sales_Table[[#This Row],[ProductID]],Product_Table[],2,FALSE)</f>
        <v>Product_12</v>
      </c>
      <c r="J65" t="str">
        <f>VLOOKUP(Sales_Table[[#This Row],[ProductID]],Product_Table[],3,FALSE)</f>
        <v>Electronics</v>
      </c>
      <c r="K65">
        <f>_xlfn.XLOOKUP(Sales_Table[[#This Row],[ProductID]],Product_Table[ProductID],Product_Table[UnitPrice],"NULL",0)</f>
        <v>39.700000000000003</v>
      </c>
      <c r="L65" t="str">
        <f>_xlfn.XLOOKUP(Sales_Table[[#This Row],[CustomerID]],Customer_Table[CustomerID],Customer_Table[CustomerName],"NULL",0)</f>
        <v>Customer_12</v>
      </c>
      <c r="M65" t="str">
        <f>INDEX(Customer_Table[Country],MATCH(Sales_Table[[#This Row],[CustomerID]],Customer_Table[CustomerID],0))</f>
        <v>United Kingdom</v>
      </c>
      <c r="N65" t="str">
        <f>INDEX(Customer_Table[Email],MATCH(Sales_Table[[#This Row],[CustomerID]],Customer_Table[CustomerID],0))</f>
        <v>customer12@email.com</v>
      </c>
    </row>
    <row r="66" spans="1:14" x14ac:dyDescent="0.3">
      <c r="A66" t="s">
        <v>159</v>
      </c>
      <c r="B66" s="1">
        <v>45350</v>
      </c>
      <c r="C66" s="1" t="str">
        <f>TEXT(Sales_Table[[#This Row],[OrderDate]],"DDDD")</f>
        <v>Wednesday</v>
      </c>
      <c r="D66" s="1" t="str">
        <f>TEXT(Sales_Table[[#This Row],[OrderDate]],"MMMM")</f>
        <v>February</v>
      </c>
      <c r="E66" t="s">
        <v>21</v>
      </c>
      <c r="F66" t="s">
        <v>160</v>
      </c>
      <c r="G66">
        <v>3</v>
      </c>
      <c r="H66">
        <v>1022.55</v>
      </c>
      <c r="I66" t="str">
        <f>VLOOKUP(Sales_Table[[#This Row],[ProductID]],Product_Table[],2,FALSE)</f>
        <v>Product_38</v>
      </c>
      <c r="J66" t="str">
        <f>VLOOKUP(Sales_Table[[#This Row],[ProductID]],Product_Table[],3,FALSE)</f>
        <v>Electronics</v>
      </c>
      <c r="K66">
        <f>_xlfn.XLOOKUP(Sales_Table[[#This Row],[ProductID]],Product_Table[ProductID],Product_Table[UnitPrice],"NULL",0)</f>
        <v>340.85</v>
      </c>
      <c r="L66" t="str">
        <f>_xlfn.XLOOKUP(Sales_Table[[#This Row],[CustomerID]],Customer_Table[CustomerID],Customer_Table[CustomerName],"NULL",0)</f>
        <v>Customer_91</v>
      </c>
      <c r="M66" t="str">
        <f>INDEX(Customer_Table[Country],MATCH(Sales_Table[[#This Row],[CustomerID]],Customer_Table[CustomerID],0))</f>
        <v>Canada</v>
      </c>
      <c r="N66" t="str">
        <f>INDEX(Customer_Table[Email],MATCH(Sales_Table[[#This Row],[CustomerID]],Customer_Table[CustomerID],0))</f>
        <v>customer91@email.com</v>
      </c>
    </row>
    <row r="67" spans="1:14" x14ac:dyDescent="0.3">
      <c r="A67" t="s">
        <v>161</v>
      </c>
      <c r="B67" s="1">
        <v>45298</v>
      </c>
      <c r="C67" s="1" t="str">
        <f>TEXT(Sales_Table[[#This Row],[OrderDate]],"DDDD")</f>
        <v>Sunday</v>
      </c>
      <c r="D67" s="1" t="str">
        <f>TEXT(Sales_Table[[#This Row],[OrderDate]],"MMMM")</f>
        <v>January</v>
      </c>
      <c r="E67" t="s">
        <v>97</v>
      </c>
      <c r="F67" t="s">
        <v>68</v>
      </c>
      <c r="G67">
        <v>2</v>
      </c>
      <c r="H67">
        <v>182.98</v>
      </c>
      <c r="I67" t="str">
        <f>VLOOKUP(Sales_Table[[#This Row],[ProductID]],Product_Table[],2,FALSE)</f>
        <v>Product_22</v>
      </c>
      <c r="J67" t="str">
        <f>VLOOKUP(Sales_Table[[#This Row],[ProductID]],Product_Table[],3,FALSE)</f>
        <v>Clothing</v>
      </c>
      <c r="K67">
        <f>_xlfn.XLOOKUP(Sales_Table[[#This Row],[ProductID]],Product_Table[ProductID],Product_Table[UnitPrice],"NULL",0)</f>
        <v>91.49</v>
      </c>
      <c r="L67" t="str">
        <f>_xlfn.XLOOKUP(Sales_Table[[#This Row],[CustomerID]],Customer_Table[CustomerID],Customer_Table[CustomerName],"NULL",0)</f>
        <v>Customer_2</v>
      </c>
      <c r="M67" t="str">
        <f>INDEX(Customer_Table[Country],MATCH(Sales_Table[[#This Row],[CustomerID]],Customer_Table[CustomerID],0))</f>
        <v>United Kingdom</v>
      </c>
      <c r="N67" t="str">
        <f>INDEX(Customer_Table[Email],MATCH(Sales_Table[[#This Row],[CustomerID]],Customer_Table[CustomerID],0))</f>
        <v>customer2@email.com</v>
      </c>
    </row>
    <row r="68" spans="1:14" x14ac:dyDescent="0.3">
      <c r="A68" t="s">
        <v>162</v>
      </c>
      <c r="B68" s="1">
        <v>45394</v>
      </c>
      <c r="C68" s="1" t="str">
        <f>TEXT(Sales_Table[[#This Row],[OrderDate]],"DDDD")</f>
        <v>Friday</v>
      </c>
      <c r="D68" s="1" t="str">
        <f>TEXT(Sales_Table[[#This Row],[OrderDate]],"MMMM")</f>
        <v>April</v>
      </c>
      <c r="E68" t="s">
        <v>45</v>
      </c>
      <c r="F68" t="s">
        <v>156</v>
      </c>
      <c r="G68">
        <v>2</v>
      </c>
      <c r="H68">
        <v>679.9</v>
      </c>
      <c r="I68" t="str">
        <f>VLOOKUP(Sales_Table[[#This Row],[ProductID]],Product_Table[],2,FALSE)</f>
        <v>Product_11</v>
      </c>
      <c r="J68" t="str">
        <f>VLOOKUP(Sales_Table[[#This Row],[ProductID]],Product_Table[],3,FALSE)</f>
        <v>Electronics</v>
      </c>
      <c r="K68">
        <f>_xlfn.XLOOKUP(Sales_Table[[#This Row],[ProductID]],Product_Table[ProductID],Product_Table[UnitPrice],"NULL",0)</f>
        <v>339.95</v>
      </c>
      <c r="L68" t="str">
        <f>_xlfn.XLOOKUP(Sales_Table[[#This Row],[CustomerID]],Customer_Table[CustomerID],Customer_Table[CustomerName],"NULL",0)</f>
        <v>Customer_110</v>
      </c>
      <c r="M68" t="str">
        <f>INDEX(Customer_Table[Country],MATCH(Sales_Table[[#This Row],[CustomerID]],Customer_Table[CustomerID],0))</f>
        <v>United States</v>
      </c>
      <c r="N68" t="str">
        <f>INDEX(Customer_Table[Email],MATCH(Sales_Table[[#This Row],[CustomerID]],Customer_Table[CustomerID],0))</f>
        <v>customer110@email.com</v>
      </c>
    </row>
    <row r="69" spans="1:14" x14ac:dyDescent="0.3">
      <c r="A69" t="s">
        <v>163</v>
      </c>
      <c r="B69" s="1">
        <v>45363</v>
      </c>
      <c r="C69" s="1" t="str">
        <f>TEXT(Sales_Table[[#This Row],[OrderDate]],"DDDD")</f>
        <v>Tuesday</v>
      </c>
      <c r="D69" s="1" t="str">
        <f>TEXT(Sales_Table[[#This Row],[OrderDate]],"MMMM")</f>
        <v>March</v>
      </c>
      <c r="E69" t="s">
        <v>59</v>
      </c>
      <c r="F69" t="s">
        <v>22</v>
      </c>
      <c r="G69">
        <v>3</v>
      </c>
      <c r="H69">
        <v>710.07</v>
      </c>
      <c r="I69" t="str">
        <f>VLOOKUP(Sales_Table[[#This Row],[ProductID]],Product_Table[],2,FALSE)</f>
        <v>Product_17</v>
      </c>
      <c r="J69" t="str">
        <f>VLOOKUP(Sales_Table[[#This Row],[ProductID]],Product_Table[],3,FALSE)</f>
        <v>Home</v>
      </c>
      <c r="K69">
        <f>_xlfn.XLOOKUP(Sales_Table[[#This Row],[ProductID]],Product_Table[ProductID],Product_Table[UnitPrice],"NULL",0)</f>
        <v>236.69</v>
      </c>
      <c r="L69" t="str">
        <f>_xlfn.XLOOKUP(Sales_Table[[#This Row],[CustomerID]],Customer_Table[CustomerID],Customer_Table[CustomerName],"NULL",0)</f>
        <v>Customer_80</v>
      </c>
      <c r="M69" t="str">
        <f>INDEX(Customer_Table[Country],MATCH(Sales_Table[[#This Row],[CustomerID]],Customer_Table[CustomerID],0))</f>
        <v>United States</v>
      </c>
      <c r="N69" t="str">
        <f>INDEX(Customer_Table[Email],MATCH(Sales_Table[[#This Row],[CustomerID]],Customer_Table[CustomerID],0))</f>
        <v>customer80@email.com</v>
      </c>
    </row>
    <row r="70" spans="1:14" x14ac:dyDescent="0.3">
      <c r="A70" t="s">
        <v>164</v>
      </c>
      <c r="B70" s="1">
        <v>45363</v>
      </c>
      <c r="C70" s="1" t="str">
        <f>TEXT(Sales_Table[[#This Row],[OrderDate]],"DDDD")</f>
        <v>Tuesday</v>
      </c>
      <c r="D70" s="1" t="str">
        <f>TEXT(Sales_Table[[#This Row],[OrderDate]],"MMMM")</f>
        <v>March</v>
      </c>
      <c r="E70" t="s">
        <v>113</v>
      </c>
      <c r="F70" t="s">
        <v>57</v>
      </c>
      <c r="G70">
        <v>1</v>
      </c>
      <c r="H70">
        <v>293.8</v>
      </c>
      <c r="I70" t="str">
        <f>VLOOKUP(Sales_Table[[#This Row],[ProductID]],Product_Table[],2,FALSE)</f>
        <v>Product_31</v>
      </c>
      <c r="J70" t="str">
        <f>VLOOKUP(Sales_Table[[#This Row],[ProductID]],Product_Table[],3,FALSE)</f>
        <v>Electronics</v>
      </c>
      <c r="K70">
        <f>_xlfn.XLOOKUP(Sales_Table[[#This Row],[ProductID]],Product_Table[ProductID],Product_Table[UnitPrice],"NULL",0)</f>
        <v>293.8</v>
      </c>
      <c r="L70" t="str">
        <f>_xlfn.XLOOKUP(Sales_Table[[#This Row],[CustomerID]],Customer_Table[CustomerID],Customer_Table[CustomerName],"NULL",0)</f>
        <v>Customer_100</v>
      </c>
      <c r="M70" t="str">
        <f>INDEX(Customer_Table[Country],MATCH(Sales_Table[[#This Row],[CustomerID]],Customer_Table[CustomerID],0))</f>
        <v>United Kingdom</v>
      </c>
      <c r="N70" t="str">
        <f>INDEX(Customer_Table[Email],MATCH(Sales_Table[[#This Row],[CustomerID]],Customer_Table[CustomerID],0))</f>
        <v>customer100@email.com</v>
      </c>
    </row>
    <row r="71" spans="1:14" x14ac:dyDescent="0.3">
      <c r="A71" t="s">
        <v>165</v>
      </c>
      <c r="B71" s="1">
        <v>45456</v>
      </c>
      <c r="C71" s="1" t="str">
        <f>TEXT(Sales_Table[[#This Row],[OrderDate]],"DDDD")</f>
        <v>Thursday</v>
      </c>
      <c r="D71" s="1" t="str">
        <f>TEXT(Sales_Table[[#This Row],[OrderDate]],"MMMM")</f>
        <v>June</v>
      </c>
      <c r="E71" t="s">
        <v>119</v>
      </c>
      <c r="F71" t="s">
        <v>68</v>
      </c>
      <c r="G71">
        <v>3</v>
      </c>
      <c r="H71">
        <v>274.47000000000003</v>
      </c>
      <c r="I71" t="str">
        <f>VLOOKUP(Sales_Table[[#This Row],[ProductID]],Product_Table[],2,FALSE)</f>
        <v>Product_22</v>
      </c>
      <c r="J71" t="str">
        <f>VLOOKUP(Sales_Table[[#This Row],[ProductID]],Product_Table[],3,FALSE)</f>
        <v>Clothing</v>
      </c>
      <c r="K71">
        <f>_xlfn.XLOOKUP(Sales_Table[[#This Row],[ProductID]],Product_Table[ProductID],Product_Table[UnitPrice],"NULL",0)</f>
        <v>91.49</v>
      </c>
      <c r="L71" t="str">
        <f>_xlfn.XLOOKUP(Sales_Table[[#This Row],[CustomerID]],Customer_Table[CustomerID],Customer_Table[CustomerName],"NULL",0)</f>
        <v>Customer_59</v>
      </c>
      <c r="M71" t="str">
        <f>INDEX(Customer_Table[Country],MATCH(Sales_Table[[#This Row],[CustomerID]],Customer_Table[CustomerID],0))</f>
        <v>United Kingdom</v>
      </c>
      <c r="N71" t="str">
        <f>INDEX(Customer_Table[Email],MATCH(Sales_Table[[#This Row],[CustomerID]],Customer_Table[CustomerID],0))</f>
        <v>customer59@email.com</v>
      </c>
    </row>
    <row r="72" spans="1:14" x14ac:dyDescent="0.3">
      <c r="A72" t="s">
        <v>166</v>
      </c>
      <c r="B72" s="1">
        <v>45394</v>
      </c>
      <c r="C72" s="1" t="str">
        <f>TEXT(Sales_Table[[#This Row],[OrderDate]],"DDDD")</f>
        <v>Friday</v>
      </c>
      <c r="D72" s="1" t="str">
        <f>TEXT(Sales_Table[[#This Row],[OrderDate]],"MMMM")</f>
        <v>April</v>
      </c>
      <c r="E72" t="s">
        <v>167</v>
      </c>
      <c r="F72" t="s">
        <v>168</v>
      </c>
      <c r="G72">
        <v>5</v>
      </c>
      <c r="H72">
        <v>217.9</v>
      </c>
      <c r="I72" t="str">
        <f>VLOOKUP(Sales_Table[[#This Row],[ProductID]],Product_Table[],2,FALSE)</f>
        <v>Product_37</v>
      </c>
      <c r="J72" t="str">
        <f>VLOOKUP(Sales_Table[[#This Row],[ProductID]],Product_Table[],3,FALSE)</f>
        <v>Clothing</v>
      </c>
      <c r="K72">
        <f>_xlfn.XLOOKUP(Sales_Table[[#This Row],[ProductID]],Product_Table[ProductID],Product_Table[UnitPrice],"NULL",0)</f>
        <v>43.58</v>
      </c>
      <c r="L72" t="str">
        <f>_xlfn.XLOOKUP(Sales_Table[[#This Row],[CustomerID]],Customer_Table[CustomerID],Customer_Table[CustomerName],"NULL",0)</f>
        <v>Customer_79</v>
      </c>
      <c r="M72" t="str">
        <f>INDEX(Customer_Table[Country],MATCH(Sales_Table[[#This Row],[CustomerID]],Customer_Table[CustomerID],0))</f>
        <v>United States</v>
      </c>
      <c r="N72" t="str">
        <f>INDEX(Customer_Table[Email],MATCH(Sales_Table[[#This Row],[CustomerID]],Customer_Table[CustomerID],0))</f>
        <v>customer79@email.com</v>
      </c>
    </row>
    <row r="73" spans="1:14" x14ac:dyDescent="0.3">
      <c r="A73" t="s">
        <v>169</v>
      </c>
      <c r="B73" s="1">
        <v>45376</v>
      </c>
      <c r="C73" s="1" t="str">
        <f>TEXT(Sales_Table[[#This Row],[OrderDate]],"DDDD")</f>
        <v>Monday</v>
      </c>
      <c r="D73" s="1" t="str">
        <f>TEXT(Sales_Table[[#This Row],[OrderDate]],"MMMM")</f>
        <v>March</v>
      </c>
      <c r="E73" t="s">
        <v>15</v>
      </c>
      <c r="F73" t="s">
        <v>36</v>
      </c>
      <c r="G73">
        <v>5</v>
      </c>
      <c r="H73">
        <v>2261</v>
      </c>
      <c r="I73" t="str">
        <f>VLOOKUP(Sales_Table[[#This Row],[ProductID]],Product_Table[],2,FALSE)</f>
        <v>Product_24</v>
      </c>
      <c r="J73" t="str">
        <f>VLOOKUP(Sales_Table[[#This Row],[ProductID]],Product_Table[],3,FALSE)</f>
        <v>Beauty</v>
      </c>
      <c r="K73">
        <f>_xlfn.XLOOKUP(Sales_Table[[#This Row],[ProductID]],Product_Table[ProductID],Product_Table[UnitPrice],"NULL",0)</f>
        <v>452.2</v>
      </c>
      <c r="L73" t="str">
        <f>_xlfn.XLOOKUP(Sales_Table[[#This Row],[CustomerID]],Customer_Table[CustomerID],Customer_Table[CustomerName],"NULL",0)</f>
        <v>Customer_115</v>
      </c>
      <c r="M73" t="str">
        <f>INDEX(Customer_Table[Country],MATCH(Sales_Table[[#This Row],[CustomerID]],Customer_Table[CustomerID],0))</f>
        <v>Canada</v>
      </c>
      <c r="N73" t="str">
        <f>INDEX(Customer_Table[Email],MATCH(Sales_Table[[#This Row],[CustomerID]],Customer_Table[CustomerID],0))</f>
        <v>customer115@email.com</v>
      </c>
    </row>
    <row r="74" spans="1:14" x14ac:dyDescent="0.3">
      <c r="A74" t="s">
        <v>170</v>
      </c>
      <c r="B74" s="1">
        <v>45321</v>
      </c>
      <c r="C74" s="1" t="str">
        <f>TEXT(Sales_Table[[#This Row],[OrderDate]],"DDDD")</f>
        <v>Tuesday</v>
      </c>
      <c r="D74" s="1" t="str">
        <f>TEXT(Sales_Table[[#This Row],[OrderDate]],"MMMM")</f>
        <v>January</v>
      </c>
      <c r="E74" t="s">
        <v>136</v>
      </c>
      <c r="F74" t="s">
        <v>160</v>
      </c>
      <c r="G74">
        <v>1</v>
      </c>
      <c r="H74">
        <v>340.85</v>
      </c>
      <c r="I74" t="str">
        <f>VLOOKUP(Sales_Table[[#This Row],[ProductID]],Product_Table[],2,FALSE)</f>
        <v>Product_38</v>
      </c>
      <c r="J74" t="str">
        <f>VLOOKUP(Sales_Table[[#This Row],[ProductID]],Product_Table[],3,FALSE)</f>
        <v>Electronics</v>
      </c>
      <c r="K74">
        <f>_xlfn.XLOOKUP(Sales_Table[[#This Row],[ProductID]],Product_Table[ProductID],Product_Table[UnitPrice],"NULL",0)</f>
        <v>340.85</v>
      </c>
      <c r="L74" t="str">
        <f>_xlfn.XLOOKUP(Sales_Table[[#This Row],[CustomerID]],Customer_Table[CustomerID],Customer_Table[CustomerName],"NULL",0)</f>
        <v>Customer_85</v>
      </c>
      <c r="M74" t="str">
        <f>INDEX(Customer_Table[Country],MATCH(Sales_Table[[#This Row],[CustomerID]],Customer_Table[CustomerID],0))</f>
        <v>Canada</v>
      </c>
      <c r="N74" t="str">
        <f>INDEX(Customer_Table[Email],MATCH(Sales_Table[[#This Row],[CustomerID]],Customer_Table[CustomerID],0))</f>
        <v>customer85@email.com</v>
      </c>
    </row>
    <row r="75" spans="1:14" x14ac:dyDescent="0.3">
      <c r="A75" t="s">
        <v>171</v>
      </c>
      <c r="B75" s="1">
        <v>45337</v>
      </c>
      <c r="C75" s="1" t="str">
        <f>TEXT(Sales_Table[[#This Row],[OrderDate]],"DDDD")</f>
        <v>Thursday</v>
      </c>
      <c r="D75" s="1" t="str">
        <f>TEXT(Sales_Table[[#This Row],[OrderDate]],"MMMM")</f>
        <v>February</v>
      </c>
      <c r="E75" t="s">
        <v>21</v>
      </c>
      <c r="F75" t="s">
        <v>144</v>
      </c>
      <c r="G75">
        <v>3</v>
      </c>
      <c r="H75">
        <v>1293.6600000000001</v>
      </c>
      <c r="I75" t="str">
        <f>VLOOKUP(Sales_Table[[#This Row],[ProductID]],Product_Table[],2,FALSE)</f>
        <v>Product_1</v>
      </c>
      <c r="J75" t="str">
        <f>VLOOKUP(Sales_Table[[#This Row],[ProductID]],Product_Table[],3,FALSE)</f>
        <v>Electronics</v>
      </c>
      <c r="K75">
        <f>_xlfn.XLOOKUP(Sales_Table[[#This Row],[ProductID]],Product_Table[ProductID],Product_Table[UnitPrice],"NULL",0)</f>
        <v>431.22</v>
      </c>
      <c r="L75" t="str">
        <f>_xlfn.XLOOKUP(Sales_Table[[#This Row],[CustomerID]],Customer_Table[CustomerID],Customer_Table[CustomerName],"NULL",0)</f>
        <v>Customer_91</v>
      </c>
      <c r="M75" t="str">
        <f>INDEX(Customer_Table[Country],MATCH(Sales_Table[[#This Row],[CustomerID]],Customer_Table[CustomerID],0))</f>
        <v>Canada</v>
      </c>
      <c r="N75" t="str">
        <f>INDEX(Customer_Table[Email],MATCH(Sales_Table[[#This Row],[CustomerID]],Customer_Table[CustomerID],0))</f>
        <v>customer91@email.com</v>
      </c>
    </row>
    <row r="76" spans="1:14" x14ac:dyDescent="0.3">
      <c r="A76" t="s">
        <v>172</v>
      </c>
      <c r="B76" s="1">
        <v>45359</v>
      </c>
      <c r="C76" s="1" t="str">
        <f>TEXT(Sales_Table[[#This Row],[OrderDate]],"DDDD")</f>
        <v>Friday</v>
      </c>
      <c r="D76" s="1" t="str">
        <f>TEXT(Sales_Table[[#This Row],[OrderDate]],"MMMM")</f>
        <v>March</v>
      </c>
      <c r="E76" t="s">
        <v>143</v>
      </c>
      <c r="F76" t="s">
        <v>173</v>
      </c>
      <c r="G76">
        <v>5</v>
      </c>
      <c r="H76">
        <v>1309.7</v>
      </c>
      <c r="I76" t="str">
        <f>VLOOKUP(Sales_Table[[#This Row],[ProductID]],Product_Table[],2,FALSE)</f>
        <v>Product_2</v>
      </c>
      <c r="J76" t="str">
        <f>VLOOKUP(Sales_Table[[#This Row],[ProductID]],Product_Table[],3,FALSE)</f>
        <v>Electronics</v>
      </c>
      <c r="K76">
        <f>_xlfn.XLOOKUP(Sales_Table[[#This Row],[ProductID]],Product_Table[ProductID],Product_Table[UnitPrice],"NULL",0)</f>
        <v>261.94</v>
      </c>
      <c r="L76" t="str">
        <f>_xlfn.XLOOKUP(Sales_Table[[#This Row],[CustomerID]],Customer_Table[CustomerID],Customer_Table[CustomerName],"NULL",0)</f>
        <v>Customer_5</v>
      </c>
      <c r="M76" t="str">
        <f>INDEX(Customer_Table[Country],MATCH(Sales_Table[[#This Row],[CustomerID]],Customer_Table[CustomerID],0))</f>
        <v>India</v>
      </c>
      <c r="N76" t="str">
        <f>INDEX(Customer_Table[Email],MATCH(Sales_Table[[#This Row],[CustomerID]],Customer_Table[CustomerID],0))</f>
        <v>customer5@email.com</v>
      </c>
    </row>
    <row r="77" spans="1:14" x14ac:dyDescent="0.3">
      <c r="A77" t="s">
        <v>174</v>
      </c>
      <c r="B77" s="1">
        <v>45319</v>
      </c>
      <c r="C77" s="1" t="str">
        <f>TEXT(Sales_Table[[#This Row],[OrderDate]],"DDDD")</f>
        <v>Sunday</v>
      </c>
      <c r="D77" s="1" t="str">
        <f>TEXT(Sales_Table[[#This Row],[OrderDate]],"MMMM")</f>
        <v>January</v>
      </c>
      <c r="E77" t="s">
        <v>175</v>
      </c>
      <c r="F77" t="s">
        <v>173</v>
      </c>
      <c r="G77">
        <v>1</v>
      </c>
      <c r="H77">
        <v>261.94</v>
      </c>
      <c r="I77" t="str">
        <f>VLOOKUP(Sales_Table[[#This Row],[ProductID]],Product_Table[],2,FALSE)</f>
        <v>Product_2</v>
      </c>
      <c r="J77" t="str">
        <f>VLOOKUP(Sales_Table[[#This Row],[ProductID]],Product_Table[],3,FALSE)</f>
        <v>Electronics</v>
      </c>
      <c r="K77">
        <f>_xlfn.XLOOKUP(Sales_Table[[#This Row],[ProductID]],Product_Table[ProductID],Product_Table[UnitPrice],"NULL",0)</f>
        <v>261.94</v>
      </c>
      <c r="L77" t="str">
        <f>_xlfn.XLOOKUP(Sales_Table[[#This Row],[CustomerID]],Customer_Table[CustomerID],Customer_Table[CustomerName],"NULL",0)</f>
        <v>Customer_113</v>
      </c>
      <c r="M77" t="str">
        <f>INDEX(Customer_Table[Country],MATCH(Sales_Table[[#This Row],[CustomerID]],Customer_Table[CustomerID],0))</f>
        <v>United Kingdom</v>
      </c>
      <c r="N77" t="str">
        <f>INDEX(Customer_Table[Email],MATCH(Sales_Table[[#This Row],[CustomerID]],Customer_Table[CustomerID],0))</f>
        <v>customer113@email.com</v>
      </c>
    </row>
    <row r="78" spans="1:14" x14ac:dyDescent="0.3">
      <c r="A78" t="s">
        <v>176</v>
      </c>
      <c r="B78" s="1">
        <v>45403</v>
      </c>
      <c r="C78" s="1" t="str">
        <f>TEXT(Sales_Table[[#This Row],[OrderDate]],"DDDD")</f>
        <v>Sunday</v>
      </c>
      <c r="D78" s="1" t="str">
        <f>TEXT(Sales_Table[[#This Row],[OrderDate]],"MMMM")</f>
        <v>April</v>
      </c>
      <c r="E78" t="s">
        <v>143</v>
      </c>
      <c r="F78" t="s">
        <v>122</v>
      </c>
      <c r="G78">
        <v>5</v>
      </c>
      <c r="H78">
        <v>1135.6500000000001</v>
      </c>
      <c r="I78" t="str">
        <f>VLOOKUP(Sales_Table[[#This Row],[ProductID]],Product_Table[],2,FALSE)</f>
        <v>Product_18</v>
      </c>
      <c r="J78" t="str">
        <f>VLOOKUP(Sales_Table[[#This Row],[ProductID]],Product_Table[],3,FALSE)</f>
        <v>Electronics</v>
      </c>
      <c r="K78">
        <f>_xlfn.XLOOKUP(Sales_Table[[#This Row],[ProductID]],Product_Table[ProductID],Product_Table[UnitPrice],"NULL",0)</f>
        <v>227.13</v>
      </c>
      <c r="L78" t="str">
        <f>_xlfn.XLOOKUP(Sales_Table[[#This Row],[CustomerID]],Customer_Table[CustomerID],Customer_Table[CustomerName],"NULL",0)</f>
        <v>Customer_5</v>
      </c>
      <c r="M78" t="str">
        <f>INDEX(Customer_Table[Country],MATCH(Sales_Table[[#This Row],[CustomerID]],Customer_Table[CustomerID],0))</f>
        <v>India</v>
      </c>
      <c r="N78" t="str">
        <f>INDEX(Customer_Table[Email],MATCH(Sales_Table[[#This Row],[CustomerID]],Customer_Table[CustomerID],0))</f>
        <v>customer5@email.com</v>
      </c>
    </row>
    <row r="79" spans="1:14" x14ac:dyDescent="0.3">
      <c r="A79" t="s">
        <v>177</v>
      </c>
      <c r="B79" s="1">
        <v>45372</v>
      </c>
      <c r="C79" s="1" t="str">
        <f>TEXT(Sales_Table[[#This Row],[OrderDate]],"DDDD")</f>
        <v>Thursday</v>
      </c>
      <c r="D79" s="1" t="str">
        <f>TEXT(Sales_Table[[#This Row],[OrderDate]],"MMMM")</f>
        <v>March</v>
      </c>
      <c r="E79" t="s">
        <v>178</v>
      </c>
      <c r="F79" t="s">
        <v>31</v>
      </c>
      <c r="G79">
        <v>3</v>
      </c>
      <c r="H79">
        <v>309.89999999999998</v>
      </c>
      <c r="I79" t="str">
        <f>VLOOKUP(Sales_Table[[#This Row],[ProductID]],Product_Table[],2,FALSE)</f>
        <v>Product_7</v>
      </c>
      <c r="J79" t="str">
        <f>VLOOKUP(Sales_Table[[#This Row],[ProductID]],Product_Table[],3,FALSE)</f>
        <v>Beauty</v>
      </c>
      <c r="K79">
        <f>_xlfn.XLOOKUP(Sales_Table[[#This Row],[ProductID]],Product_Table[ProductID],Product_Table[UnitPrice],"NULL",0)</f>
        <v>103.3</v>
      </c>
      <c r="L79" t="str">
        <f>_xlfn.XLOOKUP(Sales_Table[[#This Row],[CustomerID]],Customer_Table[CustomerID],Customer_Table[CustomerName],"NULL",0)</f>
        <v>Customer_3</v>
      </c>
      <c r="M79" t="str">
        <f>INDEX(Customer_Table[Country],MATCH(Sales_Table[[#This Row],[CustomerID]],Customer_Table[CustomerID],0))</f>
        <v>United Kingdom</v>
      </c>
      <c r="N79" t="str">
        <f>INDEX(Customer_Table[Email],MATCH(Sales_Table[[#This Row],[CustomerID]],Customer_Table[CustomerID],0))</f>
        <v>customer3@email.com</v>
      </c>
    </row>
    <row r="80" spans="1:14" x14ac:dyDescent="0.3">
      <c r="A80" t="s">
        <v>179</v>
      </c>
      <c r="B80" s="1">
        <v>45447</v>
      </c>
      <c r="C80" s="1" t="str">
        <f>TEXT(Sales_Table[[#This Row],[OrderDate]],"DDDD")</f>
        <v>Tuesday</v>
      </c>
      <c r="D80" s="1" t="str">
        <f>TEXT(Sales_Table[[#This Row],[OrderDate]],"MMMM")</f>
        <v>June</v>
      </c>
      <c r="E80" t="s">
        <v>180</v>
      </c>
      <c r="F80" t="s">
        <v>89</v>
      </c>
      <c r="G80">
        <v>4</v>
      </c>
      <c r="H80">
        <v>1733.12</v>
      </c>
      <c r="I80" t="str">
        <f>VLOOKUP(Sales_Table[[#This Row],[ProductID]],Product_Table[],2,FALSE)</f>
        <v>Product_10</v>
      </c>
      <c r="J80" t="str">
        <f>VLOOKUP(Sales_Table[[#This Row],[ProductID]],Product_Table[],3,FALSE)</f>
        <v>Beauty</v>
      </c>
      <c r="K80">
        <f>_xlfn.XLOOKUP(Sales_Table[[#This Row],[ProductID]],Product_Table[ProductID],Product_Table[UnitPrice],"NULL",0)</f>
        <v>433.28</v>
      </c>
      <c r="L80" t="str">
        <f>_xlfn.XLOOKUP(Sales_Table[[#This Row],[CustomerID]],Customer_Table[CustomerID],Customer_Table[CustomerName],"NULL",0)</f>
        <v>Customer_111</v>
      </c>
      <c r="M80" t="str">
        <f>INDEX(Customer_Table[Country],MATCH(Sales_Table[[#This Row],[CustomerID]],Customer_Table[CustomerID],0))</f>
        <v>Canada</v>
      </c>
      <c r="N80" t="str">
        <f>INDEX(Customer_Table[Email],MATCH(Sales_Table[[#This Row],[CustomerID]],Customer_Table[CustomerID],0))</f>
        <v>customer111@email.com</v>
      </c>
    </row>
    <row r="81" spans="1:14" x14ac:dyDescent="0.3">
      <c r="A81" t="s">
        <v>181</v>
      </c>
      <c r="B81" s="1">
        <v>45321</v>
      </c>
      <c r="C81" s="1" t="str">
        <f>TEXT(Sales_Table[[#This Row],[OrderDate]],"DDDD")</f>
        <v>Tuesday</v>
      </c>
      <c r="D81" s="1" t="str">
        <f>TEXT(Sales_Table[[#This Row],[OrderDate]],"MMMM")</f>
        <v>January</v>
      </c>
      <c r="E81" t="s">
        <v>182</v>
      </c>
      <c r="F81" t="s">
        <v>154</v>
      </c>
      <c r="G81">
        <v>5</v>
      </c>
      <c r="H81">
        <v>1664.5</v>
      </c>
      <c r="I81" t="str">
        <f>VLOOKUP(Sales_Table[[#This Row],[ProductID]],Product_Table[],2,FALSE)</f>
        <v>Product_8</v>
      </c>
      <c r="J81" t="str">
        <f>VLOOKUP(Sales_Table[[#This Row],[ProductID]],Product_Table[],3,FALSE)</f>
        <v>Electronics</v>
      </c>
      <c r="K81">
        <f>_xlfn.XLOOKUP(Sales_Table[[#This Row],[ProductID]],Product_Table[ProductID],Product_Table[UnitPrice],"NULL",0)</f>
        <v>332.9</v>
      </c>
      <c r="L81" t="str">
        <f>_xlfn.XLOOKUP(Sales_Table[[#This Row],[CustomerID]],Customer_Table[CustomerID],Customer_Table[CustomerName],"NULL",0)</f>
        <v>Customer_62</v>
      </c>
      <c r="M81" t="str">
        <f>INDEX(Customer_Table[Country],MATCH(Sales_Table[[#This Row],[CustomerID]],Customer_Table[CustomerID],0))</f>
        <v>Canada</v>
      </c>
      <c r="N81" t="str">
        <f>INDEX(Customer_Table[Email],MATCH(Sales_Table[[#This Row],[CustomerID]],Customer_Table[CustomerID],0))</f>
        <v>customer62@email.com</v>
      </c>
    </row>
    <row r="82" spans="1:14" x14ac:dyDescent="0.3">
      <c r="A82" t="s">
        <v>183</v>
      </c>
      <c r="B82" s="1">
        <v>45439</v>
      </c>
      <c r="C82" s="1" t="str">
        <f>TEXT(Sales_Table[[#This Row],[OrderDate]],"DDDD")</f>
        <v>Monday</v>
      </c>
      <c r="D82" s="1" t="str">
        <f>TEXT(Sales_Table[[#This Row],[OrderDate]],"MMMM")</f>
        <v>May</v>
      </c>
      <c r="E82" t="s">
        <v>184</v>
      </c>
      <c r="F82" t="s">
        <v>71</v>
      </c>
      <c r="G82">
        <v>4</v>
      </c>
      <c r="H82">
        <v>231.92</v>
      </c>
      <c r="I82" t="str">
        <f>VLOOKUP(Sales_Table[[#This Row],[ProductID]],Product_Table[],2,FALSE)</f>
        <v>Product_19</v>
      </c>
      <c r="J82" t="str">
        <f>VLOOKUP(Sales_Table[[#This Row],[ProductID]],Product_Table[],3,FALSE)</f>
        <v>Sports</v>
      </c>
      <c r="K82">
        <f>_xlfn.XLOOKUP(Sales_Table[[#This Row],[ProductID]],Product_Table[ProductID],Product_Table[UnitPrice],"NULL",0)</f>
        <v>57.98</v>
      </c>
      <c r="L82" t="str">
        <f>_xlfn.XLOOKUP(Sales_Table[[#This Row],[CustomerID]],Customer_Table[CustomerID],Customer_Table[CustomerName],"NULL",0)</f>
        <v>Customer_35</v>
      </c>
      <c r="M82" t="str">
        <f>INDEX(Customer_Table[Country],MATCH(Sales_Table[[#This Row],[CustomerID]],Customer_Table[CustomerID],0))</f>
        <v>United Kingdom</v>
      </c>
      <c r="N82" t="str">
        <f>INDEX(Customer_Table[Email],MATCH(Sales_Table[[#This Row],[CustomerID]],Customer_Table[CustomerID],0))</f>
        <v>customer35@email.com</v>
      </c>
    </row>
    <row r="83" spans="1:14" x14ac:dyDescent="0.3">
      <c r="A83" t="s">
        <v>185</v>
      </c>
      <c r="B83" s="1">
        <v>45357</v>
      </c>
      <c r="C83" s="1" t="str">
        <f>TEXT(Sales_Table[[#This Row],[OrderDate]],"DDDD")</f>
        <v>Wednesday</v>
      </c>
      <c r="D83" s="1" t="str">
        <f>TEXT(Sales_Table[[#This Row],[OrderDate]],"MMMM")</f>
        <v>March</v>
      </c>
      <c r="E83" t="s">
        <v>56</v>
      </c>
      <c r="F83" t="s">
        <v>186</v>
      </c>
      <c r="G83">
        <v>2</v>
      </c>
      <c r="H83">
        <v>435.1</v>
      </c>
      <c r="I83" t="str">
        <f>VLOOKUP(Sales_Table[[#This Row],[ProductID]],Product_Table[],2,FALSE)</f>
        <v>Product_9</v>
      </c>
      <c r="J83" t="str">
        <f>VLOOKUP(Sales_Table[[#This Row],[ProductID]],Product_Table[],3,FALSE)</f>
        <v>Home</v>
      </c>
      <c r="K83">
        <f>_xlfn.XLOOKUP(Sales_Table[[#This Row],[ProductID]],Product_Table[ProductID],Product_Table[UnitPrice],"NULL",0)</f>
        <v>217.55</v>
      </c>
      <c r="L83" t="str">
        <f>_xlfn.XLOOKUP(Sales_Table[[#This Row],[CustomerID]],Customer_Table[CustomerID],Customer_Table[CustomerName],"NULL",0)</f>
        <v>Customer_49</v>
      </c>
      <c r="M83" t="str">
        <f>INDEX(Customer_Table[Country],MATCH(Sales_Table[[#This Row],[CustomerID]],Customer_Table[CustomerID],0))</f>
        <v>Canada</v>
      </c>
      <c r="N83" t="str">
        <f>INDEX(Customer_Table[Email],MATCH(Sales_Table[[#This Row],[CustomerID]],Customer_Table[CustomerID],0))</f>
        <v>customer49@email.com</v>
      </c>
    </row>
    <row r="84" spans="1:14" x14ac:dyDescent="0.3">
      <c r="A84" t="s">
        <v>187</v>
      </c>
      <c r="B84" s="1">
        <v>45403</v>
      </c>
      <c r="C84" s="1" t="str">
        <f>TEXT(Sales_Table[[#This Row],[OrderDate]],"DDDD")</f>
        <v>Sunday</v>
      </c>
      <c r="D84" s="1" t="str">
        <f>TEXT(Sales_Table[[#This Row],[OrderDate]],"MMMM")</f>
        <v>April</v>
      </c>
      <c r="E84" t="s">
        <v>188</v>
      </c>
      <c r="F84" t="s">
        <v>80</v>
      </c>
      <c r="G84">
        <v>1</v>
      </c>
      <c r="H84">
        <v>216.72</v>
      </c>
      <c r="I84" t="str">
        <f>VLOOKUP(Sales_Table[[#This Row],[ProductID]],Product_Table[],2,FALSE)</f>
        <v>Product_16</v>
      </c>
      <c r="J84" t="str">
        <f>VLOOKUP(Sales_Table[[#This Row],[ProductID]],Product_Table[],3,FALSE)</f>
        <v>Clothing</v>
      </c>
      <c r="K84">
        <f>_xlfn.XLOOKUP(Sales_Table[[#This Row],[ProductID]],Product_Table[ProductID],Product_Table[UnitPrice],"NULL",0)</f>
        <v>216.72</v>
      </c>
      <c r="L84" t="str">
        <f>_xlfn.XLOOKUP(Sales_Table[[#This Row],[CustomerID]],Customer_Table[CustomerID],Customer_Table[CustomerName],"NULL",0)</f>
        <v>Customer_107</v>
      </c>
      <c r="M84" t="str">
        <f>INDEX(Customer_Table[Country],MATCH(Sales_Table[[#This Row],[CustomerID]],Customer_Table[CustomerID],0))</f>
        <v>United Kingdom</v>
      </c>
      <c r="N84" t="str">
        <f>INDEX(Customer_Table[Email],MATCH(Sales_Table[[#This Row],[CustomerID]],Customer_Table[CustomerID],0))</f>
        <v>customer107@email.com</v>
      </c>
    </row>
    <row r="85" spans="1:14" x14ac:dyDescent="0.3">
      <c r="A85" t="s">
        <v>189</v>
      </c>
      <c r="B85" s="1">
        <v>45425</v>
      </c>
      <c r="C85" s="1" t="str">
        <f>TEXT(Sales_Table[[#This Row],[OrderDate]],"DDDD")</f>
        <v>Monday</v>
      </c>
      <c r="D85" s="1" t="str">
        <f>TEXT(Sales_Table[[#This Row],[OrderDate]],"MMMM")</f>
        <v>May</v>
      </c>
      <c r="E85" t="s">
        <v>190</v>
      </c>
      <c r="F85" t="s">
        <v>144</v>
      </c>
      <c r="G85">
        <v>1</v>
      </c>
      <c r="H85">
        <v>431.22</v>
      </c>
      <c r="I85" t="str">
        <f>VLOOKUP(Sales_Table[[#This Row],[ProductID]],Product_Table[],2,FALSE)</f>
        <v>Product_1</v>
      </c>
      <c r="J85" t="str">
        <f>VLOOKUP(Sales_Table[[#This Row],[ProductID]],Product_Table[],3,FALSE)</f>
        <v>Electronics</v>
      </c>
      <c r="K85">
        <f>_xlfn.XLOOKUP(Sales_Table[[#This Row],[ProductID]],Product_Table[ProductID],Product_Table[UnitPrice],"NULL",0)</f>
        <v>431.22</v>
      </c>
      <c r="L85" t="str">
        <f>_xlfn.XLOOKUP(Sales_Table[[#This Row],[CustomerID]],Customer_Table[CustomerID],Customer_Table[CustomerName],"NULL",0)</f>
        <v>Customer_88</v>
      </c>
      <c r="M85" t="str">
        <f>INDEX(Customer_Table[Country],MATCH(Sales_Table[[#This Row],[CustomerID]],Customer_Table[CustomerID],0))</f>
        <v>Canada</v>
      </c>
      <c r="N85" t="str">
        <f>INDEX(Customer_Table[Email],MATCH(Sales_Table[[#This Row],[CustomerID]],Customer_Table[CustomerID],0))</f>
        <v>customer88@email.com</v>
      </c>
    </row>
    <row r="86" spans="1:14" x14ac:dyDescent="0.3">
      <c r="A86" t="s">
        <v>191</v>
      </c>
      <c r="B86" s="1">
        <v>45467</v>
      </c>
      <c r="C86" s="1" t="str">
        <f>TEXT(Sales_Table[[#This Row],[OrderDate]],"DDDD")</f>
        <v>Monday</v>
      </c>
      <c r="D86" s="1" t="str">
        <f>TEXT(Sales_Table[[#This Row],[OrderDate]],"MMMM")</f>
        <v>June</v>
      </c>
      <c r="E86" t="s">
        <v>65</v>
      </c>
      <c r="F86" t="s">
        <v>144</v>
      </c>
      <c r="G86">
        <v>5</v>
      </c>
      <c r="H86">
        <v>2156.1</v>
      </c>
      <c r="I86" t="str">
        <f>VLOOKUP(Sales_Table[[#This Row],[ProductID]],Product_Table[],2,FALSE)</f>
        <v>Product_1</v>
      </c>
      <c r="J86" t="str">
        <f>VLOOKUP(Sales_Table[[#This Row],[ProductID]],Product_Table[],3,FALSE)</f>
        <v>Electronics</v>
      </c>
      <c r="K86">
        <f>_xlfn.XLOOKUP(Sales_Table[[#This Row],[ProductID]],Product_Table[ProductID],Product_Table[UnitPrice],"NULL",0)</f>
        <v>431.22</v>
      </c>
      <c r="L86" t="str">
        <f>_xlfn.XLOOKUP(Sales_Table[[#This Row],[CustomerID]],Customer_Table[CustomerID],Customer_Table[CustomerName],"NULL",0)</f>
        <v>Customer_83</v>
      </c>
      <c r="M86" t="str">
        <f>INDEX(Customer_Table[Country],MATCH(Sales_Table[[#This Row],[CustomerID]],Customer_Table[CustomerID],0))</f>
        <v>United Kingdom</v>
      </c>
      <c r="N86" t="str">
        <f>INDEX(Customer_Table[Email],MATCH(Sales_Table[[#This Row],[CustomerID]],Customer_Table[CustomerID],0))</f>
        <v>customer83@email.com</v>
      </c>
    </row>
    <row r="87" spans="1:14" x14ac:dyDescent="0.3">
      <c r="A87" t="s">
        <v>192</v>
      </c>
      <c r="B87" s="1">
        <v>45385</v>
      </c>
      <c r="C87" s="1" t="str">
        <f>TEXT(Sales_Table[[#This Row],[OrderDate]],"DDDD")</f>
        <v>Wednesday</v>
      </c>
      <c r="D87" s="1" t="str">
        <f>TEXT(Sales_Table[[#This Row],[OrderDate]],"MMMM")</f>
        <v>April</v>
      </c>
      <c r="E87" t="s">
        <v>193</v>
      </c>
      <c r="F87" t="s">
        <v>106</v>
      </c>
      <c r="G87">
        <v>2</v>
      </c>
      <c r="H87">
        <v>263.68</v>
      </c>
      <c r="I87" t="str">
        <f>VLOOKUP(Sales_Table[[#This Row],[ProductID]],Product_Table[],2,FALSE)</f>
        <v>Product_14</v>
      </c>
      <c r="J87" t="str">
        <f>VLOOKUP(Sales_Table[[#This Row],[ProductID]],Product_Table[],3,FALSE)</f>
        <v>Electronics</v>
      </c>
      <c r="K87">
        <f>_xlfn.XLOOKUP(Sales_Table[[#This Row],[ProductID]],Product_Table[ProductID],Product_Table[UnitPrice],"NULL",0)</f>
        <v>131.84</v>
      </c>
      <c r="L87" t="str">
        <f>_xlfn.XLOOKUP(Sales_Table[[#This Row],[CustomerID]],Customer_Table[CustomerID],Customer_Table[CustomerName],"NULL",0)</f>
        <v>Customer_87</v>
      </c>
      <c r="M87" t="str">
        <f>INDEX(Customer_Table[Country],MATCH(Sales_Table[[#This Row],[CustomerID]],Customer_Table[CustomerID],0))</f>
        <v>India</v>
      </c>
      <c r="N87" t="str">
        <f>INDEX(Customer_Table[Email],MATCH(Sales_Table[[#This Row],[CustomerID]],Customer_Table[CustomerID],0))</f>
        <v>customer87@email.com</v>
      </c>
    </row>
    <row r="88" spans="1:14" x14ac:dyDescent="0.3">
      <c r="A88" t="s">
        <v>194</v>
      </c>
      <c r="B88" s="1">
        <v>45309</v>
      </c>
      <c r="C88" s="1" t="str">
        <f>TEXT(Sales_Table[[#This Row],[OrderDate]],"DDDD")</f>
        <v>Thursday</v>
      </c>
      <c r="D88" s="1" t="str">
        <f>TEXT(Sales_Table[[#This Row],[OrderDate]],"MMMM")</f>
        <v>January</v>
      </c>
      <c r="E88" t="s">
        <v>24</v>
      </c>
      <c r="F88" t="s">
        <v>160</v>
      </c>
      <c r="G88">
        <v>4</v>
      </c>
      <c r="H88">
        <v>1363.4</v>
      </c>
      <c r="I88" t="str">
        <f>VLOOKUP(Sales_Table[[#This Row],[ProductID]],Product_Table[],2,FALSE)</f>
        <v>Product_38</v>
      </c>
      <c r="J88" t="str">
        <f>VLOOKUP(Sales_Table[[#This Row],[ProductID]],Product_Table[],3,FALSE)</f>
        <v>Electronics</v>
      </c>
      <c r="K88">
        <f>_xlfn.XLOOKUP(Sales_Table[[#This Row],[ProductID]],Product_Table[ProductID],Product_Table[UnitPrice],"NULL",0)</f>
        <v>340.85</v>
      </c>
      <c r="L88" t="str">
        <f>_xlfn.XLOOKUP(Sales_Table[[#This Row],[CustomerID]],Customer_Table[CustomerID],Customer_Table[CustomerName],"NULL",0)</f>
        <v>Customer_97</v>
      </c>
      <c r="M88" t="str">
        <f>INDEX(Customer_Table[Country],MATCH(Sales_Table[[#This Row],[CustomerID]],Customer_Table[CustomerID],0))</f>
        <v>Canada</v>
      </c>
      <c r="N88" t="str">
        <f>INDEX(Customer_Table[Email],MATCH(Sales_Table[[#This Row],[CustomerID]],Customer_Table[CustomerID],0))</f>
        <v>customer97@email.com</v>
      </c>
    </row>
    <row r="89" spans="1:14" x14ac:dyDescent="0.3">
      <c r="A89" t="s">
        <v>195</v>
      </c>
      <c r="B89" s="1">
        <v>45451</v>
      </c>
      <c r="C89" s="1" t="str">
        <f>TEXT(Sales_Table[[#This Row],[OrderDate]],"DDDD")</f>
        <v>Saturday</v>
      </c>
      <c r="D89" s="1" t="str">
        <f>TEXT(Sales_Table[[#This Row],[OrderDate]],"MMMM")</f>
        <v>June</v>
      </c>
      <c r="E89" t="s">
        <v>196</v>
      </c>
      <c r="F89" t="s">
        <v>89</v>
      </c>
      <c r="G89">
        <v>3</v>
      </c>
      <c r="H89">
        <v>1299.8399999999999</v>
      </c>
      <c r="I89" t="str">
        <f>VLOOKUP(Sales_Table[[#This Row],[ProductID]],Product_Table[],2,FALSE)</f>
        <v>Product_10</v>
      </c>
      <c r="J89" t="str">
        <f>VLOOKUP(Sales_Table[[#This Row],[ProductID]],Product_Table[],3,FALSE)</f>
        <v>Beauty</v>
      </c>
      <c r="K89">
        <f>_xlfn.XLOOKUP(Sales_Table[[#This Row],[ProductID]],Product_Table[ProductID],Product_Table[UnitPrice],"NULL",0)</f>
        <v>433.28</v>
      </c>
      <c r="L89" t="str">
        <f>_xlfn.XLOOKUP(Sales_Table[[#This Row],[CustomerID]],Customer_Table[CustomerID],Customer_Table[CustomerName],"NULL",0)</f>
        <v>Customer_94</v>
      </c>
      <c r="M89" t="str">
        <f>INDEX(Customer_Table[Country],MATCH(Sales_Table[[#This Row],[CustomerID]],Customer_Table[CustomerID],0))</f>
        <v>United Kingdom</v>
      </c>
      <c r="N89" t="str">
        <f>INDEX(Customer_Table[Email],MATCH(Sales_Table[[#This Row],[CustomerID]],Customer_Table[CustomerID],0))</f>
        <v>customer94@email.com</v>
      </c>
    </row>
    <row r="90" spans="1:14" x14ac:dyDescent="0.3">
      <c r="A90" t="s">
        <v>197</v>
      </c>
      <c r="B90" s="1">
        <v>45461</v>
      </c>
      <c r="C90" s="1" t="str">
        <f>TEXT(Sales_Table[[#This Row],[OrderDate]],"DDDD")</f>
        <v>Tuesday</v>
      </c>
      <c r="D90" s="1" t="str">
        <f>TEXT(Sales_Table[[#This Row],[OrderDate]],"MMMM")</f>
        <v>June</v>
      </c>
      <c r="E90" t="s">
        <v>54</v>
      </c>
      <c r="F90" t="s">
        <v>80</v>
      </c>
      <c r="G90">
        <v>3</v>
      </c>
      <c r="H90">
        <v>650.16</v>
      </c>
      <c r="I90" t="str">
        <f>VLOOKUP(Sales_Table[[#This Row],[ProductID]],Product_Table[],2,FALSE)</f>
        <v>Product_16</v>
      </c>
      <c r="J90" t="str">
        <f>VLOOKUP(Sales_Table[[#This Row],[ProductID]],Product_Table[],3,FALSE)</f>
        <v>Clothing</v>
      </c>
      <c r="K90">
        <f>_xlfn.XLOOKUP(Sales_Table[[#This Row],[ProductID]],Product_Table[ProductID],Product_Table[UnitPrice],"NULL",0)</f>
        <v>216.72</v>
      </c>
      <c r="L90" t="str">
        <f>_xlfn.XLOOKUP(Sales_Table[[#This Row],[CustomerID]],Customer_Table[CustomerID],Customer_Table[CustomerName],"NULL",0)</f>
        <v>Customer_43</v>
      </c>
      <c r="M90" t="str">
        <f>INDEX(Customer_Table[Country],MATCH(Sales_Table[[#This Row],[CustomerID]],Customer_Table[CustomerID],0))</f>
        <v>United Kingdom</v>
      </c>
      <c r="N90" t="str">
        <f>INDEX(Customer_Table[Email],MATCH(Sales_Table[[#This Row],[CustomerID]],Customer_Table[CustomerID],0))</f>
        <v>customer43@email.com</v>
      </c>
    </row>
    <row r="91" spans="1:14" x14ac:dyDescent="0.3">
      <c r="A91" t="s">
        <v>198</v>
      </c>
      <c r="B91" s="1">
        <v>45368</v>
      </c>
      <c r="C91" s="1" t="str">
        <f>TEXT(Sales_Table[[#This Row],[OrderDate]],"DDDD")</f>
        <v>Sunday</v>
      </c>
      <c r="D91" s="1" t="str">
        <f>TEXT(Sales_Table[[#This Row],[OrderDate]],"MMMM")</f>
        <v>March</v>
      </c>
      <c r="E91" t="s">
        <v>30</v>
      </c>
      <c r="F91" t="s">
        <v>31</v>
      </c>
      <c r="G91">
        <v>1</v>
      </c>
      <c r="H91">
        <v>103.3</v>
      </c>
      <c r="I91" t="str">
        <f>VLOOKUP(Sales_Table[[#This Row],[ProductID]],Product_Table[],2,FALSE)</f>
        <v>Product_7</v>
      </c>
      <c r="J91" t="str">
        <f>VLOOKUP(Sales_Table[[#This Row],[ProductID]],Product_Table[],3,FALSE)</f>
        <v>Beauty</v>
      </c>
      <c r="K91">
        <f>_xlfn.XLOOKUP(Sales_Table[[#This Row],[ProductID]],Product_Table[ProductID],Product_Table[UnitPrice],"NULL",0)</f>
        <v>103.3</v>
      </c>
      <c r="L91" t="str">
        <f>_xlfn.XLOOKUP(Sales_Table[[#This Row],[CustomerID]],Customer_Table[CustomerID],Customer_Table[CustomerName],"NULL",0)</f>
        <v>Customer_38</v>
      </c>
      <c r="M91" t="str">
        <f>INDEX(Customer_Table[Country],MATCH(Sales_Table[[#This Row],[CustomerID]],Customer_Table[CustomerID],0))</f>
        <v>United States</v>
      </c>
      <c r="N91" t="str">
        <f>INDEX(Customer_Table[Email],MATCH(Sales_Table[[#This Row],[CustomerID]],Customer_Table[CustomerID],0))</f>
        <v>customer38@email.com</v>
      </c>
    </row>
    <row r="92" spans="1:14" x14ac:dyDescent="0.3">
      <c r="A92" t="s">
        <v>199</v>
      </c>
      <c r="B92" s="1">
        <v>45371</v>
      </c>
      <c r="C92" s="1" t="str">
        <f>TEXT(Sales_Table[[#This Row],[OrderDate]],"DDDD")</f>
        <v>Wednesday</v>
      </c>
      <c r="D92" s="1" t="str">
        <f>TEXT(Sales_Table[[#This Row],[OrderDate]],"MMMM")</f>
        <v>March</v>
      </c>
      <c r="E92" t="s">
        <v>70</v>
      </c>
      <c r="F92" t="s">
        <v>132</v>
      </c>
      <c r="G92">
        <v>5</v>
      </c>
      <c r="H92">
        <v>198.5</v>
      </c>
      <c r="I92" t="str">
        <f>VLOOKUP(Sales_Table[[#This Row],[ProductID]],Product_Table[],2,FALSE)</f>
        <v>Product_12</v>
      </c>
      <c r="J92" t="str">
        <f>VLOOKUP(Sales_Table[[#This Row],[ProductID]],Product_Table[],3,FALSE)</f>
        <v>Electronics</v>
      </c>
      <c r="K92">
        <f>_xlfn.XLOOKUP(Sales_Table[[#This Row],[ProductID]],Product_Table[ProductID],Product_Table[UnitPrice],"NULL",0)</f>
        <v>39.700000000000003</v>
      </c>
      <c r="L92" t="str">
        <f>_xlfn.XLOOKUP(Sales_Table[[#This Row],[CustomerID]],Customer_Table[CustomerID],Customer_Table[CustomerName],"NULL",0)</f>
        <v>Customer_102</v>
      </c>
      <c r="M92" t="str">
        <f>INDEX(Customer_Table[Country],MATCH(Sales_Table[[#This Row],[CustomerID]],Customer_Table[CustomerID],0))</f>
        <v>Canada</v>
      </c>
      <c r="N92" t="str">
        <f>INDEX(Customer_Table[Email],MATCH(Sales_Table[[#This Row],[CustomerID]],Customer_Table[CustomerID],0))</f>
        <v>customer102@email.com</v>
      </c>
    </row>
    <row r="93" spans="1:14" x14ac:dyDescent="0.3">
      <c r="A93" t="s">
        <v>200</v>
      </c>
      <c r="B93" s="1">
        <v>45375</v>
      </c>
      <c r="C93" s="1" t="str">
        <f>TEXT(Sales_Table[[#This Row],[OrderDate]],"DDDD")</f>
        <v>Sunday</v>
      </c>
      <c r="D93" s="1" t="str">
        <f>TEXT(Sales_Table[[#This Row],[OrderDate]],"MMMM")</f>
        <v>March</v>
      </c>
      <c r="E93" t="s">
        <v>73</v>
      </c>
      <c r="F93" t="s">
        <v>43</v>
      </c>
      <c r="G93">
        <v>4</v>
      </c>
      <c r="H93">
        <v>1169.3599999999999</v>
      </c>
      <c r="I93" t="str">
        <f>VLOOKUP(Sales_Table[[#This Row],[ProductID]],Product_Table[],2,FALSE)</f>
        <v>Product_5</v>
      </c>
      <c r="J93" t="str">
        <f>VLOOKUP(Sales_Table[[#This Row],[ProductID]],Product_Table[],3,FALSE)</f>
        <v>Sports</v>
      </c>
      <c r="K93">
        <f>_xlfn.XLOOKUP(Sales_Table[[#This Row],[ProductID]],Product_Table[ProductID],Product_Table[UnitPrice],"NULL",0)</f>
        <v>292.33999999999997</v>
      </c>
      <c r="L93" t="str">
        <f>_xlfn.XLOOKUP(Sales_Table[[#This Row],[CustomerID]],Customer_Table[CustomerID],Customer_Table[CustomerName],"NULL",0)</f>
        <v>Customer_61</v>
      </c>
      <c r="M93" t="str">
        <f>INDEX(Customer_Table[Country],MATCH(Sales_Table[[#This Row],[CustomerID]],Customer_Table[CustomerID],0))</f>
        <v>India</v>
      </c>
      <c r="N93" t="str">
        <f>INDEX(Customer_Table[Email],MATCH(Sales_Table[[#This Row],[CustomerID]],Customer_Table[CustomerID],0))</f>
        <v>customer61@email.com</v>
      </c>
    </row>
    <row r="94" spans="1:14" x14ac:dyDescent="0.3">
      <c r="A94" t="s">
        <v>201</v>
      </c>
      <c r="B94" s="1">
        <v>45470</v>
      </c>
      <c r="C94" s="1" t="str">
        <f>TEXT(Sales_Table[[#This Row],[OrderDate]],"DDDD")</f>
        <v>Thursday</v>
      </c>
      <c r="D94" s="1" t="str">
        <f>TEXT(Sales_Table[[#This Row],[OrderDate]],"MMMM")</f>
        <v>June</v>
      </c>
      <c r="E94" t="s">
        <v>70</v>
      </c>
      <c r="F94" t="s">
        <v>106</v>
      </c>
      <c r="G94">
        <v>4</v>
      </c>
      <c r="H94">
        <v>527.36</v>
      </c>
      <c r="I94" t="str">
        <f>VLOOKUP(Sales_Table[[#This Row],[ProductID]],Product_Table[],2,FALSE)</f>
        <v>Product_14</v>
      </c>
      <c r="J94" t="str">
        <f>VLOOKUP(Sales_Table[[#This Row],[ProductID]],Product_Table[],3,FALSE)</f>
        <v>Electronics</v>
      </c>
      <c r="K94">
        <f>_xlfn.XLOOKUP(Sales_Table[[#This Row],[ProductID]],Product_Table[ProductID],Product_Table[UnitPrice],"NULL",0)</f>
        <v>131.84</v>
      </c>
      <c r="L94" t="str">
        <f>_xlfn.XLOOKUP(Sales_Table[[#This Row],[CustomerID]],Customer_Table[CustomerID],Customer_Table[CustomerName],"NULL",0)</f>
        <v>Customer_102</v>
      </c>
      <c r="M94" t="str">
        <f>INDEX(Customer_Table[Country],MATCH(Sales_Table[[#This Row],[CustomerID]],Customer_Table[CustomerID],0))</f>
        <v>Canada</v>
      </c>
      <c r="N94" t="str">
        <f>INDEX(Customer_Table[Email],MATCH(Sales_Table[[#This Row],[CustomerID]],Customer_Table[CustomerID],0))</f>
        <v>customer102@email.com</v>
      </c>
    </row>
    <row r="95" spans="1:14" x14ac:dyDescent="0.3">
      <c r="A95" t="s">
        <v>202</v>
      </c>
      <c r="B95" s="1">
        <v>45433</v>
      </c>
      <c r="C95" s="1" t="str">
        <f>TEXT(Sales_Table[[#This Row],[OrderDate]],"DDDD")</f>
        <v>Tuesday</v>
      </c>
      <c r="D95" s="1" t="str">
        <f>TEXT(Sales_Table[[#This Row],[OrderDate]],"MMMM")</f>
        <v>May</v>
      </c>
      <c r="E95" t="s">
        <v>203</v>
      </c>
      <c r="F95" t="s">
        <v>204</v>
      </c>
      <c r="G95">
        <v>3</v>
      </c>
      <c r="H95">
        <v>737.61</v>
      </c>
      <c r="I95" t="str">
        <f>VLOOKUP(Sales_Table[[#This Row],[ProductID]],Product_Table[],2,FALSE)</f>
        <v>Product_23</v>
      </c>
      <c r="J95" t="str">
        <f>VLOOKUP(Sales_Table[[#This Row],[ProductID]],Product_Table[],3,FALSE)</f>
        <v>Beauty</v>
      </c>
      <c r="K95">
        <f>_xlfn.XLOOKUP(Sales_Table[[#This Row],[ProductID]],Product_Table[ProductID],Product_Table[UnitPrice],"NULL",0)</f>
        <v>245.87</v>
      </c>
      <c r="L95" t="str">
        <f>_xlfn.XLOOKUP(Sales_Table[[#This Row],[CustomerID]],Customer_Table[CustomerID],Customer_Table[CustomerName],"NULL",0)</f>
        <v>Customer_32</v>
      </c>
      <c r="M95" t="str">
        <f>INDEX(Customer_Table[Country],MATCH(Sales_Table[[#This Row],[CustomerID]],Customer_Table[CustomerID],0))</f>
        <v>United Kingdom</v>
      </c>
      <c r="N95" t="str">
        <f>INDEX(Customer_Table[Email],MATCH(Sales_Table[[#This Row],[CustomerID]],Customer_Table[CustomerID],0))</f>
        <v>customer32@email.com</v>
      </c>
    </row>
    <row r="96" spans="1:14" x14ac:dyDescent="0.3">
      <c r="A96" t="s">
        <v>205</v>
      </c>
      <c r="B96" s="1">
        <v>45341</v>
      </c>
      <c r="C96" s="1" t="str">
        <f>TEXT(Sales_Table[[#This Row],[OrderDate]],"DDDD")</f>
        <v>Monday</v>
      </c>
      <c r="D96" s="1" t="str">
        <f>TEXT(Sales_Table[[#This Row],[OrderDate]],"MMMM")</f>
        <v>February</v>
      </c>
      <c r="E96" t="s">
        <v>206</v>
      </c>
      <c r="F96" t="s">
        <v>89</v>
      </c>
      <c r="G96">
        <v>2</v>
      </c>
      <c r="H96">
        <v>866.56</v>
      </c>
      <c r="I96" t="str">
        <f>VLOOKUP(Sales_Table[[#This Row],[ProductID]],Product_Table[],2,FALSE)</f>
        <v>Product_10</v>
      </c>
      <c r="J96" t="str">
        <f>VLOOKUP(Sales_Table[[#This Row],[ProductID]],Product_Table[],3,FALSE)</f>
        <v>Beauty</v>
      </c>
      <c r="K96">
        <f>_xlfn.XLOOKUP(Sales_Table[[#This Row],[ProductID]],Product_Table[ProductID],Product_Table[UnitPrice],"NULL",0)</f>
        <v>433.28</v>
      </c>
      <c r="L96" t="str">
        <f>_xlfn.XLOOKUP(Sales_Table[[#This Row],[CustomerID]],Customer_Table[CustomerID],Customer_Table[CustomerName],"NULL",0)</f>
        <v>Customer_69</v>
      </c>
      <c r="M96" t="str">
        <f>INDEX(Customer_Table[Country],MATCH(Sales_Table[[#This Row],[CustomerID]],Customer_Table[CustomerID],0))</f>
        <v>United Kingdom</v>
      </c>
      <c r="N96" t="str">
        <f>INDEX(Customer_Table[Email],MATCH(Sales_Table[[#This Row],[CustomerID]],Customer_Table[CustomerID],0))</f>
        <v>customer69@email.com</v>
      </c>
    </row>
    <row r="97" spans="1:14" x14ac:dyDescent="0.3">
      <c r="A97" t="s">
        <v>207</v>
      </c>
      <c r="B97" s="1">
        <v>45462</v>
      </c>
      <c r="C97" s="1" t="str">
        <f>TEXT(Sales_Table[[#This Row],[OrderDate]],"DDDD")</f>
        <v>Wednesday</v>
      </c>
      <c r="D97" s="1" t="str">
        <f>TEXT(Sales_Table[[#This Row],[OrderDate]],"MMMM")</f>
        <v>June</v>
      </c>
      <c r="E97" t="s">
        <v>188</v>
      </c>
      <c r="F97" t="s">
        <v>204</v>
      </c>
      <c r="G97">
        <v>4</v>
      </c>
      <c r="H97">
        <v>983.48</v>
      </c>
      <c r="I97" t="str">
        <f>VLOOKUP(Sales_Table[[#This Row],[ProductID]],Product_Table[],2,FALSE)</f>
        <v>Product_23</v>
      </c>
      <c r="J97" t="str">
        <f>VLOOKUP(Sales_Table[[#This Row],[ProductID]],Product_Table[],3,FALSE)</f>
        <v>Beauty</v>
      </c>
      <c r="K97">
        <f>_xlfn.XLOOKUP(Sales_Table[[#This Row],[ProductID]],Product_Table[ProductID],Product_Table[UnitPrice],"NULL",0)</f>
        <v>245.87</v>
      </c>
      <c r="L97" t="str">
        <f>_xlfn.XLOOKUP(Sales_Table[[#This Row],[CustomerID]],Customer_Table[CustomerID],Customer_Table[CustomerName],"NULL",0)</f>
        <v>Customer_107</v>
      </c>
      <c r="M97" t="str">
        <f>INDEX(Customer_Table[Country],MATCH(Sales_Table[[#This Row],[CustomerID]],Customer_Table[CustomerID],0))</f>
        <v>United Kingdom</v>
      </c>
      <c r="N97" t="str">
        <f>INDEX(Customer_Table[Email],MATCH(Sales_Table[[#This Row],[CustomerID]],Customer_Table[CustomerID],0))</f>
        <v>customer107@email.com</v>
      </c>
    </row>
    <row r="98" spans="1:14" x14ac:dyDescent="0.3">
      <c r="A98" t="s">
        <v>208</v>
      </c>
      <c r="B98" s="1">
        <v>45465</v>
      </c>
      <c r="C98" s="1" t="str">
        <f>TEXT(Sales_Table[[#This Row],[OrderDate]],"DDDD")</f>
        <v>Saturday</v>
      </c>
      <c r="D98" s="1" t="str">
        <f>TEXT(Sales_Table[[#This Row],[OrderDate]],"MMMM")</f>
        <v>June</v>
      </c>
      <c r="E98" t="s">
        <v>119</v>
      </c>
      <c r="F98" t="s">
        <v>116</v>
      </c>
      <c r="G98">
        <v>4</v>
      </c>
      <c r="H98">
        <v>197</v>
      </c>
      <c r="I98" t="str">
        <f>VLOOKUP(Sales_Table[[#This Row],[ProductID]],Product_Table[],2,FALSE)</f>
        <v>Product_36</v>
      </c>
      <c r="J98" t="str">
        <f>VLOOKUP(Sales_Table[[#This Row],[ProductID]],Product_Table[],3,FALSE)</f>
        <v>Sports</v>
      </c>
      <c r="K98">
        <f>_xlfn.XLOOKUP(Sales_Table[[#This Row],[ProductID]],Product_Table[ProductID],Product_Table[UnitPrice],"NULL",0)</f>
        <v>49.25</v>
      </c>
      <c r="L98" t="str">
        <f>_xlfn.XLOOKUP(Sales_Table[[#This Row],[CustomerID]],Customer_Table[CustomerID],Customer_Table[CustomerName],"NULL",0)</f>
        <v>Customer_59</v>
      </c>
      <c r="M98" t="str">
        <f>INDEX(Customer_Table[Country],MATCH(Sales_Table[[#This Row],[CustomerID]],Customer_Table[CustomerID],0))</f>
        <v>United Kingdom</v>
      </c>
      <c r="N98" t="str">
        <f>INDEX(Customer_Table[Email],MATCH(Sales_Table[[#This Row],[CustomerID]],Customer_Table[CustomerID],0))</f>
        <v>customer59@email.com</v>
      </c>
    </row>
    <row r="99" spans="1:14" x14ac:dyDescent="0.3">
      <c r="A99" t="s">
        <v>209</v>
      </c>
      <c r="B99" s="1">
        <v>45449</v>
      </c>
      <c r="C99" s="1" t="str">
        <f>TEXT(Sales_Table[[#This Row],[OrderDate]],"DDDD")</f>
        <v>Thursday</v>
      </c>
      <c r="D99" s="1" t="str">
        <f>TEXT(Sales_Table[[#This Row],[OrderDate]],"MMMM")</f>
        <v>June</v>
      </c>
      <c r="E99" t="s">
        <v>210</v>
      </c>
      <c r="F99" t="s">
        <v>57</v>
      </c>
      <c r="G99">
        <v>2</v>
      </c>
      <c r="H99">
        <v>587.6</v>
      </c>
      <c r="I99" t="str">
        <f>VLOOKUP(Sales_Table[[#This Row],[ProductID]],Product_Table[],2,FALSE)</f>
        <v>Product_31</v>
      </c>
      <c r="J99" t="str">
        <f>VLOOKUP(Sales_Table[[#This Row],[ProductID]],Product_Table[],3,FALSE)</f>
        <v>Electronics</v>
      </c>
      <c r="K99">
        <f>_xlfn.XLOOKUP(Sales_Table[[#This Row],[ProductID]],Product_Table[ProductID],Product_Table[UnitPrice],"NULL",0)</f>
        <v>293.8</v>
      </c>
      <c r="L99" t="str">
        <f>_xlfn.XLOOKUP(Sales_Table[[#This Row],[CustomerID]],Customer_Table[CustomerID],Customer_Table[CustomerName],"NULL",0)</f>
        <v>Customer_48</v>
      </c>
      <c r="M99" t="str">
        <f>INDEX(Customer_Table[Country],MATCH(Sales_Table[[#This Row],[CustomerID]],Customer_Table[CustomerID],0))</f>
        <v>India</v>
      </c>
      <c r="N99" t="str">
        <f>INDEX(Customer_Table[Email],MATCH(Sales_Table[[#This Row],[CustomerID]],Customer_Table[CustomerID],0))</f>
        <v>customer48@email.com</v>
      </c>
    </row>
    <row r="100" spans="1:14" x14ac:dyDescent="0.3">
      <c r="A100" t="s">
        <v>211</v>
      </c>
      <c r="B100" s="1">
        <v>45369</v>
      </c>
      <c r="C100" s="1" t="str">
        <f>TEXT(Sales_Table[[#This Row],[OrderDate]],"DDDD")</f>
        <v>Monday</v>
      </c>
      <c r="D100" s="1" t="str">
        <f>TEXT(Sales_Table[[#This Row],[OrderDate]],"MMMM")</f>
        <v>March</v>
      </c>
      <c r="E100" t="s">
        <v>143</v>
      </c>
      <c r="F100" t="s">
        <v>154</v>
      </c>
      <c r="G100">
        <v>5</v>
      </c>
      <c r="H100">
        <v>1664.5</v>
      </c>
      <c r="I100" t="str">
        <f>VLOOKUP(Sales_Table[[#This Row],[ProductID]],Product_Table[],2,FALSE)</f>
        <v>Product_8</v>
      </c>
      <c r="J100" t="str">
        <f>VLOOKUP(Sales_Table[[#This Row],[ProductID]],Product_Table[],3,FALSE)</f>
        <v>Electronics</v>
      </c>
      <c r="K100">
        <f>_xlfn.XLOOKUP(Sales_Table[[#This Row],[ProductID]],Product_Table[ProductID],Product_Table[UnitPrice],"NULL",0)</f>
        <v>332.9</v>
      </c>
      <c r="L100" t="str">
        <f>_xlfn.XLOOKUP(Sales_Table[[#This Row],[CustomerID]],Customer_Table[CustomerID],Customer_Table[CustomerName],"NULL",0)</f>
        <v>Customer_5</v>
      </c>
      <c r="M100" t="str">
        <f>INDEX(Customer_Table[Country],MATCH(Sales_Table[[#This Row],[CustomerID]],Customer_Table[CustomerID],0))</f>
        <v>India</v>
      </c>
      <c r="N100" t="str">
        <f>INDEX(Customer_Table[Email],MATCH(Sales_Table[[#This Row],[CustomerID]],Customer_Table[CustomerID],0))</f>
        <v>customer5@email.com</v>
      </c>
    </row>
    <row r="101" spans="1:14" x14ac:dyDescent="0.3">
      <c r="A101" t="s">
        <v>212</v>
      </c>
      <c r="B101" s="1">
        <v>45432</v>
      </c>
      <c r="C101" s="1" t="str">
        <f>TEXT(Sales_Table[[#This Row],[OrderDate]],"DDDD")</f>
        <v>Monday</v>
      </c>
      <c r="D101" s="1" t="str">
        <f>TEXT(Sales_Table[[#This Row],[OrderDate]],"MMMM")</f>
        <v>May</v>
      </c>
      <c r="E101" t="s">
        <v>91</v>
      </c>
      <c r="F101" t="s">
        <v>137</v>
      </c>
      <c r="G101">
        <v>4</v>
      </c>
      <c r="H101">
        <v>466.68</v>
      </c>
      <c r="I101" t="str">
        <f>VLOOKUP(Sales_Table[[#This Row],[ProductID]],Product_Table[],2,FALSE)</f>
        <v>Product_30</v>
      </c>
      <c r="J101" t="str">
        <f>VLOOKUP(Sales_Table[[#This Row],[ProductID]],Product_Table[],3,FALSE)</f>
        <v>Home</v>
      </c>
      <c r="K101">
        <f>_xlfn.XLOOKUP(Sales_Table[[#This Row],[ProductID]],Product_Table[ProductID],Product_Table[UnitPrice],"NULL",0)</f>
        <v>116.67</v>
      </c>
      <c r="L101" t="str">
        <f>_xlfn.XLOOKUP(Sales_Table[[#This Row],[CustomerID]],Customer_Table[CustomerID],Customer_Table[CustomerName],"NULL",0)</f>
        <v>Customer_82</v>
      </c>
      <c r="M101" t="str">
        <f>INDEX(Customer_Table[Country],MATCH(Sales_Table[[#This Row],[CustomerID]],Customer_Table[CustomerID],0))</f>
        <v>United Kingdom</v>
      </c>
      <c r="N101" t="str">
        <f>INDEX(Customer_Table[Email],MATCH(Sales_Table[[#This Row],[CustomerID]],Customer_Table[CustomerID],0))</f>
        <v>customer82@email.com</v>
      </c>
    </row>
    <row r="102" spans="1:14" x14ac:dyDescent="0.3">
      <c r="A102" t="s">
        <v>213</v>
      </c>
      <c r="B102" s="1">
        <v>45369</v>
      </c>
      <c r="C102" s="1" t="str">
        <f>TEXT(Sales_Table[[#This Row],[OrderDate]],"DDDD")</f>
        <v>Monday</v>
      </c>
      <c r="D102" s="1" t="str">
        <f>TEXT(Sales_Table[[#This Row],[OrderDate]],"MMMM")</f>
        <v>March</v>
      </c>
      <c r="E102" t="s">
        <v>214</v>
      </c>
      <c r="F102" t="s">
        <v>57</v>
      </c>
      <c r="G102">
        <v>1</v>
      </c>
      <c r="H102">
        <v>293.8</v>
      </c>
      <c r="I102" t="str">
        <f>VLOOKUP(Sales_Table[[#This Row],[ProductID]],Product_Table[],2,FALSE)</f>
        <v>Product_31</v>
      </c>
      <c r="J102" t="str">
        <f>VLOOKUP(Sales_Table[[#This Row],[ProductID]],Product_Table[],3,FALSE)</f>
        <v>Electronics</v>
      </c>
      <c r="K102">
        <f>_xlfn.XLOOKUP(Sales_Table[[#This Row],[ProductID]],Product_Table[ProductID],Product_Table[UnitPrice],"NULL",0)</f>
        <v>293.8</v>
      </c>
      <c r="L102" t="str">
        <f>_xlfn.XLOOKUP(Sales_Table[[#This Row],[CustomerID]],Customer_Table[CustomerID],Customer_Table[CustomerName],"NULL",0)</f>
        <v>Customer_10</v>
      </c>
      <c r="M102" t="str">
        <f>INDEX(Customer_Table[Country],MATCH(Sales_Table[[#This Row],[CustomerID]],Customer_Table[CustomerID],0))</f>
        <v>Canada</v>
      </c>
      <c r="N102" t="str">
        <f>INDEX(Customer_Table[Email],MATCH(Sales_Table[[#This Row],[CustomerID]],Customer_Table[CustomerID],0))</f>
        <v>customer10@email.com</v>
      </c>
    </row>
    <row r="103" spans="1:14" x14ac:dyDescent="0.3">
      <c r="A103" t="s">
        <v>215</v>
      </c>
      <c r="B103" s="1">
        <v>45345</v>
      </c>
      <c r="C103" s="1" t="str">
        <f>TEXT(Sales_Table[[#This Row],[OrderDate]],"DDDD")</f>
        <v>Friday</v>
      </c>
      <c r="D103" s="1" t="str">
        <f>TEXT(Sales_Table[[#This Row],[OrderDate]],"MMMM")</f>
        <v>February</v>
      </c>
      <c r="E103" t="s">
        <v>105</v>
      </c>
      <c r="F103" t="s">
        <v>16</v>
      </c>
      <c r="G103">
        <v>3</v>
      </c>
      <c r="H103">
        <v>1258.95</v>
      </c>
      <c r="I103" t="str">
        <f>VLOOKUP(Sales_Table[[#This Row],[ProductID]],Product_Table[],2,FALSE)</f>
        <v>Product_20</v>
      </c>
      <c r="J103" t="str">
        <f>VLOOKUP(Sales_Table[[#This Row],[ProductID]],Product_Table[],3,FALSE)</f>
        <v>Sports</v>
      </c>
      <c r="K103">
        <f>_xlfn.XLOOKUP(Sales_Table[[#This Row],[ProductID]],Product_Table[ProductID],Product_Table[UnitPrice],"NULL",0)</f>
        <v>419.65</v>
      </c>
      <c r="L103" t="str">
        <f>_xlfn.XLOOKUP(Sales_Table[[#This Row],[CustomerID]],Customer_Table[CustomerID],Customer_Table[CustomerName],"NULL",0)</f>
        <v>Customer_14</v>
      </c>
      <c r="M103" t="str">
        <f>INDEX(Customer_Table[Country],MATCH(Sales_Table[[#This Row],[CustomerID]],Customer_Table[CustomerID],0))</f>
        <v>United States</v>
      </c>
      <c r="N103" t="str">
        <f>INDEX(Customer_Table[Email],MATCH(Sales_Table[[#This Row],[CustomerID]],Customer_Table[CustomerID],0))</f>
        <v>customer14@email.com</v>
      </c>
    </row>
    <row r="104" spans="1:14" x14ac:dyDescent="0.3">
      <c r="A104" t="s">
        <v>216</v>
      </c>
      <c r="B104" s="1">
        <v>45440</v>
      </c>
      <c r="C104" s="1" t="str">
        <f>TEXT(Sales_Table[[#This Row],[OrderDate]],"DDDD")</f>
        <v>Tuesday</v>
      </c>
      <c r="D104" s="1" t="str">
        <f>TEXT(Sales_Table[[#This Row],[OrderDate]],"MMMM")</f>
        <v>May</v>
      </c>
      <c r="E104" t="s">
        <v>217</v>
      </c>
      <c r="F104" t="s">
        <v>22</v>
      </c>
      <c r="G104">
        <v>4</v>
      </c>
      <c r="H104">
        <v>946.76</v>
      </c>
      <c r="I104" t="str">
        <f>VLOOKUP(Sales_Table[[#This Row],[ProductID]],Product_Table[],2,FALSE)</f>
        <v>Product_17</v>
      </c>
      <c r="J104" t="str">
        <f>VLOOKUP(Sales_Table[[#This Row],[ProductID]],Product_Table[],3,FALSE)</f>
        <v>Home</v>
      </c>
      <c r="K104">
        <f>_xlfn.XLOOKUP(Sales_Table[[#This Row],[ProductID]],Product_Table[ProductID],Product_Table[UnitPrice],"NULL",0)</f>
        <v>236.69</v>
      </c>
      <c r="L104" t="str">
        <f>_xlfn.XLOOKUP(Sales_Table[[#This Row],[CustomerID]],Customer_Table[CustomerID],Customer_Table[CustomerName],"NULL",0)</f>
        <v>Customer_63</v>
      </c>
      <c r="M104" t="str">
        <f>INDEX(Customer_Table[Country],MATCH(Sales_Table[[#This Row],[CustomerID]],Customer_Table[CustomerID],0))</f>
        <v>India</v>
      </c>
      <c r="N104" t="str">
        <f>INDEX(Customer_Table[Email],MATCH(Sales_Table[[#This Row],[CustomerID]],Customer_Table[CustomerID],0))</f>
        <v>customer63@email.com</v>
      </c>
    </row>
    <row r="105" spans="1:14" x14ac:dyDescent="0.3">
      <c r="A105" t="s">
        <v>218</v>
      </c>
      <c r="B105" s="1">
        <v>45459</v>
      </c>
      <c r="C105" s="1" t="str">
        <f>TEXT(Sales_Table[[#This Row],[OrderDate]],"DDDD")</f>
        <v>Sunday</v>
      </c>
      <c r="D105" s="1" t="str">
        <f>TEXT(Sales_Table[[#This Row],[OrderDate]],"MMMM")</f>
        <v>June</v>
      </c>
      <c r="E105" t="s">
        <v>219</v>
      </c>
      <c r="F105" t="s">
        <v>156</v>
      </c>
      <c r="G105">
        <v>5</v>
      </c>
      <c r="H105">
        <v>1699.75</v>
      </c>
      <c r="I105" t="str">
        <f>VLOOKUP(Sales_Table[[#This Row],[ProductID]],Product_Table[],2,FALSE)</f>
        <v>Product_11</v>
      </c>
      <c r="J105" t="str">
        <f>VLOOKUP(Sales_Table[[#This Row],[ProductID]],Product_Table[],3,FALSE)</f>
        <v>Electronics</v>
      </c>
      <c r="K105">
        <f>_xlfn.XLOOKUP(Sales_Table[[#This Row],[ProductID]],Product_Table[ProductID],Product_Table[UnitPrice],"NULL",0)</f>
        <v>339.95</v>
      </c>
      <c r="L105" t="str">
        <f>_xlfn.XLOOKUP(Sales_Table[[#This Row],[CustomerID]],Customer_Table[CustomerID],Customer_Table[CustomerName],"NULL",0)</f>
        <v>Customer_36</v>
      </c>
      <c r="M105" t="str">
        <f>INDEX(Customer_Table[Country],MATCH(Sales_Table[[#This Row],[CustomerID]],Customer_Table[CustomerID],0))</f>
        <v>United States</v>
      </c>
      <c r="N105" t="str">
        <f>INDEX(Customer_Table[Email],MATCH(Sales_Table[[#This Row],[CustomerID]],Customer_Table[CustomerID],0))</f>
        <v>customer36@email.com</v>
      </c>
    </row>
    <row r="106" spans="1:14" x14ac:dyDescent="0.3">
      <c r="A106" t="s">
        <v>220</v>
      </c>
      <c r="B106" s="1">
        <v>45411</v>
      </c>
      <c r="C106" s="1" t="str">
        <f>TEXT(Sales_Table[[#This Row],[OrderDate]],"DDDD")</f>
        <v>Monday</v>
      </c>
      <c r="D106" s="1" t="str">
        <f>TEXT(Sales_Table[[#This Row],[OrderDate]],"MMMM")</f>
        <v>April</v>
      </c>
      <c r="E106" t="s">
        <v>105</v>
      </c>
      <c r="F106" t="s">
        <v>106</v>
      </c>
      <c r="G106">
        <v>3</v>
      </c>
      <c r="H106">
        <v>395.52</v>
      </c>
      <c r="I106" t="str">
        <f>VLOOKUP(Sales_Table[[#This Row],[ProductID]],Product_Table[],2,FALSE)</f>
        <v>Product_14</v>
      </c>
      <c r="J106" t="str">
        <f>VLOOKUP(Sales_Table[[#This Row],[ProductID]],Product_Table[],3,FALSE)</f>
        <v>Electronics</v>
      </c>
      <c r="K106">
        <f>_xlfn.XLOOKUP(Sales_Table[[#This Row],[ProductID]],Product_Table[ProductID],Product_Table[UnitPrice],"NULL",0)</f>
        <v>131.84</v>
      </c>
      <c r="L106" t="str">
        <f>_xlfn.XLOOKUP(Sales_Table[[#This Row],[CustomerID]],Customer_Table[CustomerID],Customer_Table[CustomerName],"NULL",0)</f>
        <v>Customer_14</v>
      </c>
      <c r="M106" t="str">
        <f>INDEX(Customer_Table[Country],MATCH(Sales_Table[[#This Row],[CustomerID]],Customer_Table[CustomerID],0))</f>
        <v>United States</v>
      </c>
      <c r="N106" t="str">
        <f>INDEX(Customer_Table[Email],MATCH(Sales_Table[[#This Row],[CustomerID]],Customer_Table[CustomerID],0))</f>
        <v>customer14@email.com</v>
      </c>
    </row>
    <row r="107" spans="1:14" x14ac:dyDescent="0.3">
      <c r="A107" t="s">
        <v>221</v>
      </c>
      <c r="B107" s="1">
        <v>45405</v>
      </c>
      <c r="C107" s="1" t="str">
        <f>TEXT(Sales_Table[[#This Row],[OrderDate]],"DDDD")</f>
        <v>Tuesday</v>
      </c>
      <c r="D107" s="1" t="str">
        <f>TEXT(Sales_Table[[#This Row],[OrderDate]],"MMMM")</f>
        <v>April</v>
      </c>
      <c r="E107" t="s">
        <v>222</v>
      </c>
      <c r="F107" t="s">
        <v>68</v>
      </c>
      <c r="G107">
        <v>4</v>
      </c>
      <c r="H107">
        <v>365.96</v>
      </c>
      <c r="I107" t="str">
        <f>VLOOKUP(Sales_Table[[#This Row],[ProductID]],Product_Table[],2,FALSE)</f>
        <v>Product_22</v>
      </c>
      <c r="J107" t="str">
        <f>VLOOKUP(Sales_Table[[#This Row],[ProductID]],Product_Table[],3,FALSE)</f>
        <v>Clothing</v>
      </c>
      <c r="K107">
        <f>_xlfn.XLOOKUP(Sales_Table[[#This Row],[ProductID]],Product_Table[ProductID],Product_Table[UnitPrice],"NULL",0)</f>
        <v>91.49</v>
      </c>
      <c r="L107" t="str">
        <f>_xlfn.XLOOKUP(Sales_Table[[#This Row],[CustomerID]],Customer_Table[CustomerID],Customer_Table[CustomerName],"NULL",0)</f>
        <v>Customer_46</v>
      </c>
      <c r="M107" t="str">
        <f>INDEX(Customer_Table[Country],MATCH(Sales_Table[[#This Row],[CustomerID]],Customer_Table[CustomerID],0))</f>
        <v>United Kingdom</v>
      </c>
      <c r="N107" t="str">
        <f>INDEX(Customer_Table[Email],MATCH(Sales_Table[[#This Row],[CustomerID]],Customer_Table[CustomerID],0))</f>
        <v>customer46@email.com</v>
      </c>
    </row>
    <row r="108" spans="1:14" x14ac:dyDescent="0.3">
      <c r="A108" t="s">
        <v>223</v>
      </c>
      <c r="B108" s="1">
        <v>45422</v>
      </c>
      <c r="C108" s="1" t="str">
        <f>TEXT(Sales_Table[[#This Row],[OrderDate]],"DDDD")</f>
        <v>Friday</v>
      </c>
      <c r="D108" s="1" t="str">
        <f>TEXT(Sales_Table[[#This Row],[OrderDate]],"MMMM")</f>
        <v>May</v>
      </c>
      <c r="E108" t="s">
        <v>38</v>
      </c>
      <c r="F108" t="s">
        <v>63</v>
      </c>
      <c r="G108">
        <v>2</v>
      </c>
      <c r="H108">
        <v>261.3</v>
      </c>
      <c r="I108" t="str">
        <f>VLOOKUP(Sales_Table[[#This Row],[ProductID]],Product_Table[],2,FALSE)</f>
        <v>Product_40</v>
      </c>
      <c r="J108" t="str">
        <f>VLOOKUP(Sales_Table[[#This Row],[ProductID]],Product_Table[],3,FALSE)</f>
        <v>Sports</v>
      </c>
      <c r="K108">
        <f>_xlfn.XLOOKUP(Sales_Table[[#This Row],[ProductID]],Product_Table[ProductID],Product_Table[UnitPrice],"NULL",0)</f>
        <v>130.65</v>
      </c>
      <c r="L108" t="str">
        <f>_xlfn.XLOOKUP(Sales_Table[[#This Row],[CustomerID]],Customer_Table[CustomerID],Customer_Table[CustomerName],"NULL",0)</f>
        <v>Customer_6</v>
      </c>
      <c r="M108" t="str">
        <f>INDEX(Customer_Table[Country],MATCH(Sales_Table[[#This Row],[CustomerID]],Customer_Table[CustomerID],0))</f>
        <v>United Kingdom</v>
      </c>
      <c r="N108" t="str">
        <f>INDEX(Customer_Table[Email],MATCH(Sales_Table[[#This Row],[CustomerID]],Customer_Table[CustomerID],0))</f>
        <v>customer6@email.com</v>
      </c>
    </row>
    <row r="109" spans="1:14" x14ac:dyDescent="0.3">
      <c r="A109" t="s">
        <v>224</v>
      </c>
      <c r="B109" s="1">
        <v>45335</v>
      </c>
      <c r="C109" s="1" t="str">
        <f>TEXT(Sales_Table[[#This Row],[OrderDate]],"DDDD")</f>
        <v>Tuesday</v>
      </c>
      <c r="D109" s="1" t="str">
        <f>TEXT(Sales_Table[[#This Row],[OrderDate]],"MMMM")</f>
        <v>February</v>
      </c>
      <c r="E109" t="s">
        <v>18</v>
      </c>
      <c r="F109" t="s">
        <v>80</v>
      </c>
      <c r="G109">
        <v>4</v>
      </c>
      <c r="H109">
        <v>866.88</v>
      </c>
      <c r="I109" t="str">
        <f>VLOOKUP(Sales_Table[[#This Row],[ProductID]],Product_Table[],2,FALSE)</f>
        <v>Product_16</v>
      </c>
      <c r="J109" t="str">
        <f>VLOOKUP(Sales_Table[[#This Row],[ProductID]],Product_Table[],3,FALSE)</f>
        <v>Clothing</v>
      </c>
      <c r="K109">
        <f>_xlfn.XLOOKUP(Sales_Table[[#This Row],[ProductID]],Product_Table[ProductID],Product_Table[UnitPrice],"NULL",0)</f>
        <v>216.72</v>
      </c>
      <c r="L109" t="str">
        <f>_xlfn.XLOOKUP(Sales_Table[[#This Row],[CustomerID]],Customer_Table[CustomerID],Customer_Table[CustomerName],"NULL",0)</f>
        <v>Customer_77</v>
      </c>
      <c r="M109" t="str">
        <f>INDEX(Customer_Table[Country],MATCH(Sales_Table[[#This Row],[CustomerID]],Customer_Table[CustomerID],0))</f>
        <v>India</v>
      </c>
      <c r="N109" t="str">
        <f>INDEX(Customer_Table[Email],MATCH(Sales_Table[[#This Row],[CustomerID]],Customer_Table[CustomerID],0))</f>
        <v>customer77@email.com</v>
      </c>
    </row>
    <row r="110" spans="1:14" x14ac:dyDescent="0.3">
      <c r="A110" t="s">
        <v>225</v>
      </c>
      <c r="B110" s="1">
        <v>45364</v>
      </c>
      <c r="C110" s="1" t="str">
        <f>TEXT(Sales_Table[[#This Row],[OrderDate]],"DDDD")</f>
        <v>Wednesday</v>
      </c>
      <c r="D110" s="1" t="str">
        <f>TEXT(Sales_Table[[#This Row],[OrderDate]],"MMMM")</f>
        <v>March</v>
      </c>
      <c r="E110" t="s">
        <v>226</v>
      </c>
      <c r="F110" t="s">
        <v>52</v>
      </c>
      <c r="G110">
        <v>1</v>
      </c>
      <c r="H110">
        <v>272.77999999999997</v>
      </c>
      <c r="I110" t="str">
        <f>VLOOKUP(Sales_Table[[#This Row],[ProductID]],Product_Table[],2,FALSE)</f>
        <v>Product_15</v>
      </c>
      <c r="J110" t="str">
        <f>VLOOKUP(Sales_Table[[#This Row],[ProductID]],Product_Table[],3,FALSE)</f>
        <v>Clothing</v>
      </c>
      <c r="K110">
        <f>_xlfn.XLOOKUP(Sales_Table[[#This Row],[ProductID]],Product_Table[ProductID],Product_Table[UnitPrice],"NULL",0)</f>
        <v>272.77999999999997</v>
      </c>
      <c r="L110" t="str">
        <f>_xlfn.XLOOKUP(Sales_Table[[#This Row],[CustomerID]],Customer_Table[CustomerID],Customer_Table[CustomerName],"NULL",0)</f>
        <v>Customer_64</v>
      </c>
      <c r="M110" t="str">
        <f>INDEX(Customer_Table[Country],MATCH(Sales_Table[[#This Row],[CustomerID]],Customer_Table[CustomerID],0))</f>
        <v>United States</v>
      </c>
      <c r="N110" t="str">
        <f>INDEX(Customer_Table[Email],MATCH(Sales_Table[[#This Row],[CustomerID]],Customer_Table[CustomerID],0))</f>
        <v>customer64@email.com</v>
      </c>
    </row>
    <row r="111" spans="1:14" x14ac:dyDescent="0.3">
      <c r="A111" t="s">
        <v>227</v>
      </c>
      <c r="B111" s="1">
        <v>45461</v>
      </c>
      <c r="C111" s="1" t="str">
        <f>TEXT(Sales_Table[[#This Row],[OrderDate]],"DDDD")</f>
        <v>Tuesday</v>
      </c>
      <c r="D111" s="1" t="str">
        <f>TEXT(Sales_Table[[#This Row],[OrderDate]],"MMMM")</f>
        <v>June</v>
      </c>
      <c r="E111" t="s">
        <v>190</v>
      </c>
      <c r="F111" t="s">
        <v>204</v>
      </c>
      <c r="G111">
        <v>5</v>
      </c>
      <c r="H111">
        <v>1229.3499999999999</v>
      </c>
      <c r="I111" t="str">
        <f>VLOOKUP(Sales_Table[[#This Row],[ProductID]],Product_Table[],2,FALSE)</f>
        <v>Product_23</v>
      </c>
      <c r="J111" t="str">
        <f>VLOOKUP(Sales_Table[[#This Row],[ProductID]],Product_Table[],3,FALSE)</f>
        <v>Beauty</v>
      </c>
      <c r="K111">
        <f>_xlfn.XLOOKUP(Sales_Table[[#This Row],[ProductID]],Product_Table[ProductID],Product_Table[UnitPrice],"NULL",0)</f>
        <v>245.87</v>
      </c>
      <c r="L111" t="str">
        <f>_xlfn.XLOOKUP(Sales_Table[[#This Row],[CustomerID]],Customer_Table[CustomerID],Customer_Table[CustomerName],"NULL",0)</f>
        <v>Customer_88</v>
      </c>
      <c r="M111" t="str">
        <f>INDEX(Customer_Table[Country],MATCH(Sales_Table[[#This Row],[CustomerID]],Customer_Table[CustomerID],0))</f>
        <v>Canada</v>
      </c>
      <c r="N111" t="str">
        <f>INDEX(Customer_Table[Email],MATCH(Sales_Table[[#This Row],[CustomerID]],Customer_Table[CustomerID],0))</f>
        <v>customer88@email.com</v>
      </c>
    </row>
    <row r="112" spans="1:14" x14ac:dyDescent="0.3">
      <c r="A112" t="s">
        <v>228</v>
      </c>
      <c r="B112" s="1">
        <v>45377</v>
      </c>
      <c r="C112" s="1" t="str">
        <f>TEXT(Sales_Table[[#This Row],[OrderDate]],"DDDD")</f>
        <v>Tuesday</v>
      </c>
      <c r="D112" s="1" t="str">
        <f>TEXT(Sales_Table[[#This Row],[OrderDate]],"MMMM")</f>
        <v>March</v>
      </c>
      <c r="E112" t="s">
        <v>119</v>
      </c>
      <c r="F112" t="s">
        <v>76</v>
      </c>
      <c r="G112">
        <v>5</v>
      </c>
      <c r="H112">
        <v>2011.45</v>
      </c>
      <c r="I112" t="str">
        <f>VLOOKUP(Sales_Table[[#This Row],[ProductID]],Product_Table[],2,FALSE)</f>
        <v>Product_13</v>
      </c>
      <c r="J112" t="str">
        <f>VLOOKUP(Sales_Table[[#This Row],[ProductID]],Product_Table[],3,FALSE)</f>
        <v>Home</v>
      </c>
      <c r="K112">
        <f>_xlfn.XLOOKUP(Sales_Table[[#This Row],[ProductID]],Product_Table[ProductID],Product_Table[UnitPrice],"NULL",0)</f>
        <v>402.29</v>
      </c>
      <c r="L112" t="str">
        <f>_xlfn.XLOOKUP(Sales_Table[[#This Row],[CustomerID]],Customer_Table[CustomerID],Customer_Table[CustomerName],"NULL",0)</f>
        <v>Customer_59</v>
      </c>
      <c r="M112" t="str">
        <f>INDEX(Customer_Table[Country],MATCH(Sales_Table[[#This Row],[CustomerID]],Customer_Table[CustomerID],0))</f>
        <v>United Kingdom</v>
      </c>
      <c r="N112" t="str">
        <f>INDEX(Customer_Table[Email],MATCH(Sales_Table[[#This Row],[CustomerID]],Customer_Table[CustomerID],0))</f>
        <v>customer59@email.com</v>
      </c>
    </row>
    <row r="113" spans="1:14" x14ac:dyDescent="0.3">
      <c r="A113" t="s">
        <v>229</v>
      </c>
      <c r="B113" s="1">
        <v>45352</v>
      </c>
      <c r="C113" s="1" t="str">
        <f>TEXT(Sales_Table[[#This Row],[OrderDate]],"DDDD")</f>
        <v>Friday</v>
      </c>
      <c r="D113" s="1" t="str">
        <f>TEXT(Sales_Table[[#This Row],[OrderDate]],"MMMM")</f>
        <v>March</v>
      </c>
      <c r="E113" t="s">
        <v>230</v>
      </c>
      <c r="F113" t="s">
        <v>36</v>
      </c>
      <c r="G113">
        <v>1</v>
      </c>
      <c r="H113">
        <v>452.2</v>
      </c>
      <c r="I113" t="str">
        <f>VLOOKUP(Sales_Table[[#This Row],[ProductID]],Product_Table[],2,FALSE)</f>
        <v>Product_24</v>
      </c>
      <c r="J113" t="str">
        <f>VLOOKUP(Sales_Table[[#This Row],[ProductID]],Product_Table[],3,FALSE)</f>
        <v>Beauty</v>
      </c>
      <c r="K113">
        <f>_xlfn.XLOOKUP(Sales_Table[[#This Row],[ProductID]],Product_Table[ProductID],Product_Table[UnitPrice],"NULL",0)</f>
        <v>452.2</v>
      </c>
      <c r="L113" t="str">
        <f>_xlfn.XLOOKUP(Sales_Table[[#This Row],[CustomerID]],Customer_Table[CustomerID],Customer_Table[CustomerName],"NULL",0)</f>
        <v>Customer_106</v>
      </c>
      <c r="M113" t="str">
        <f>INDEX(Customer_Table[Country],MATCH(Sales_Table[[#This Row],[CustomerID]],Customer_Table[CustomerID],0))</f>
        <v>India</v>
      </c>
      <c r="N113" t="str">
        <f>INDEX(Customer_Table[Email],MATCH(Sales_Table[[#This Row],[CustomerID]],Customer_Table[CustomerID],0))</f>
        <v>customer106@email.com</v>
      </c>
    </row>
    <row r="114" spans="1:14" x14ac:dyDescent="0.3">
      <c r="A114" t="s">
        <v>231</v>
      </c>
      <c r="B114" s="1">
        <v>45349</v>
      </c>
      <c r="C114" s="1" t="str">
        <f>TEXT(Sales_Table[[#This Row],[OrderDate]],"DDDD")</f>
        <v>Tuesday</v>
      </c>
      <c r="D114" s="1" t="str">
        <f>TEXT(Sales_Table[[#This Row],[OrderDate]],"MMMM")</f>
        <v>February</v>
      </c>
      <c r="E114" t="s">
        <v>196</v>
      </c>
      <c r="F114" t="s">
        <v>36</v>
      </c>
      <c r="G114">
        <v>3</v>
      </c>
      <c r="H114">
        <v>1356.6</v>
      </c>
      <c r="I114" t="str">
        <f>VLOOKUP(Sales_Table[[#This Row],[ProductID]],Product_Table[],2,FALSE)</f>
        <v>Product_24</v>
      </c>
      <c r="J114" t="str">
        <f>VLOOKUP(Sales_Table[[#This Row],[ProductID]],Product_Table[],3,FALSE)</f>
        <v>Beauty</v>
      </c>
      <c r="K114">
        <f>_xlfn.XLOOKUP(Sales_Table[[#This Row],[ProductID]],Product_Table[ProductID],Product_Table[UnitPrice],"NULL",0)</f>
        <v>452.2</v>
      </c>
      <c r="L114" t="str">
        <f>_xlfn.XLOOKUP(Sales_Table[[#This Row],[CustomerID]],Customer_Table[CustomerID],Customer_Table[CustomerName],"NULL",0)</f>
        <v>Customer_94</v>
      </c>
      <c r="M114" t="str">
        <f>INDEX(Customer_Table[Country],MATCH(Sales_Table[[#This Row],[CustomerID]],Customer_Table[CustomerID],0))</f>
        <v>United Kingdom</v>
      </c>
      <c r="N114" t="str">
        <f>INDEX(Customer_Table[Email],MATCH(Sales_Table[[#This Row],[CustomerID]],Customer_Table[CustomerID],0))</f>
        <v>customer94@email.com</v>
      </c>
    </row>
    <row r="115" spans="1:14" x14ac:dyDescent="0.3">
      <c r="A115" t="s">
        <v>232</v>
      </c>
      <c r="B115" s="1">
        <v>45329</v>
      </c>
      <c r="C115" s="1" t="str">
        <f>TEXT(Sales_Table[[#This Row],[OrderDate]],"DDDD")</f>
        <v>Wednesday</v>
      </c>
      <c r="D115" s="1" t="str">
        <f>TEXT(Sales_Table[[#This Row],[OrderDate]],"MMMM")</f>
        <v>February</v>
      </c>
      <c r="E115" t="s">
        <v>206</v>
      </c>
      <c r="F115" t="s">
        <v>233</v>
      </c>
      <c r="G115">
        <v>2</v>
      </c>
      <c r="H115">
        <v>927.84</v>
      </c>
      <c r="I115" t="str">
        <f>VLOOKUP(Sales_Table[[#This Row],[ProductID]],Product_Table[],2,FALSE)</f>
        <v>Product_21</v>
      </c>
      <c r="J115" t="str">
        <f>VLOOKUP(Sales_Table[[#This Row],[ProductID]],Product_Table[],3,FALSE)</f>
        <v>Electronics</v>
      </c>
      <c r="K115">
        <f>_xlfn.XLOOKUP(Sales_Table[[#This Row],[ProductID]],Product_Table[ProductID],Product_Table[UnitPrice],"NULL",0)</f>
        <v>463.92</v>
      </c>
      <c r="L115" t="str">
        <f>_xlfn.XLOOKUP(Sales_Table[[#This Row],[CustomerID]],Customer_Table[CustomerID],Customer_Table[CustomerName],"NULL",0)</f>
        <v>Customer_69</v>
      </c>
      <c r="M115" t="str">
        <f>INDEX(Customer_Table[Country],MATCH(Sales_Table[[#This Row],[CustomerID]],Customer_Table[CustomerID],0))</f>
        <v>United Kingdom</v>
      </c>
      <c r="N115" t="str">
        <f>INDEX(Customer_Table[Email],MATCH(Sales_Table[[#This Row],[CustomerID]],Customer_Table[CustomerID],0))</f>
        <v>customer69@email.com</v>
      </c>
    </row>
    <row r="116" spans="1:14" x14ac:dyDescent="0.3">
      <c r="A116" t="s">
        <v>234</v>
      </c>
      <c r="B116" s="1">
        <v>45303</v>
      </c>
      <c r="C116" s="1" t="str">
        <f>TEXT(Sales_Table[[#This Row],[OrderDate]],"DDDD")</f>
        <v>Friday</v>
      </c>
      <c r="D116" s="1" t="str">
        <f>TEXT(Sales_Table[[#This Row],[OrderDate]],"MMMM")</f>
        <v>January</v>
      </c>
      <c r="E116" t="s">
        <v>139</v>
      </c>
      <c r="F116" t="s">
        <v>106</v>
      </c>
      <c r="G116">
        <v>1</v>
      </c>
      <c r="H116">
        <v>131.84</v>
      </c>
      <c r="I116" t="str">
        <f>VLOOKUP(Sales_Table[[#This Row],[ProductID]],Product_Table[],2,FALSE)</f>
        <v>Product_14</v>
      </c>
      <c r="J116" t="str">
        <f>VLOOKUP(Sales_Table[[#This Row],[ProductID]],Product_Table[],3,FALSE)</f>
        <v>Electronics</v>
      </c>
      <c r="K116">
        <f>_xlfn.XLOOKUP(Sales_Table[[#This Row],[ProductID]],Product_Table[ProductID],Product_Table[UnitPrice],"NULL",0)</f>
        <v>131.84</v>
      </c>
      <c r="L116" t="str">
        <f>_xlfn.XLOOKUP(Sales_Table[[#This Row],[CustomerID]],Customer_Table[CustomerID],Customer_Table[CustomerName],"NULL",0)</f>
        <v>Customer_84</v>
      </c>
      <c r="M116" t="str">
        <f>INDEX(Customer_Table[Country],MATCH(Sales_Table[[#This Row],[CustomerID]],Customer_Table[CustomerID],0))</f>
        <v>Canada</v>
      </c>
      <c r="N116" t="str">
        <f>INDEX(Customer_Table[Email],MATCH(Sales_Table[[#This Row],[CustomerID]],Customer_Table[CustomerID],0))</f>
        <v>customer84@email.com</v>
      </c>
    </row>
    <row r="117" spans="1:14" x14ac:dyDescent="0.3">
      <c r="A117" t="s">
        <v>235</v>
      </c>
      <c r="B117" s="1">
        <v>45413</v>
      </c>
      <c r="C117" s="1" t="str">
        <f>TEXT(Sales_Table[[#This Row],[OrderDate]],"DDDD")</f>
        <v>Wednesday</v>
      </c>
      <c r="D117" s="1" t="str">
        <f>TEXT(Sales_Table[[#This Row],[OrderDate]],"MMMM")</f>
        <v>May</v>
      </c>
      <c r="E117" t="s">
        <v>128</v>
      </c>
      <c r="F117" t="s">
        <v>71</v>
      </c>
      <c r="G117">
        <v>2</v>
      </c>
      <c r="H117">
        <v>115.96</v>
      </c>
      <c r="I117" t="str">
        <f>VLOOKUP(Sales_Table[[#This Row],[ProductID]],Product_Table[],2,FALSE)</f>
        <v>Product_19</v>
      </c>
      <c r="J117" t="str">
        <f>VLOOKUP(Sales_Table[[#This Row],[ProductID]],Product_Table[],3,FALSE)</f>
        <v>Sports</v>
      </c>
      <c r="K117">
        <f>_xlfn.XLOOKUP(Sales_Table[[#This Row],[ProductID]],Product_Table[ProductID],Product_Table[UnitPrice],"NULL",0)</f>
        <v>57.98</v>
      </c>
      <c r="L117" t="str">
        <f>_xlfn.XLOOKUP(Sales_Table[[#This Row],[CustomerID]],Customer_Table[CustomerID],Customer_Table[CustomerName],"NULL",0)</f>
        <v>Customer_96</v>
      </c>
      <c r="M117" t="str">
        <f>INDEX(Customer_Table[Country],MATCH(Sales_Table[[#This Row],[CustomerID]],Customer_Table[CustomerID],0))</f>
        <v>United Kingdom</v>
      </c>
      <c r="N117" t="str">
        <f>INDEX(Customer_Table[Email],MATCH(Sales_Table[[#This Row],[CustomerID]],Customer_Table[CustomerID],0))</f>
        <v>customer96@email.com</v>
      </c>
    </row>
    <row r="118" spans="1:14" x14ac:dyDescent="0.3">
      <c r="A118" t="s">
        <v>236</v>
      </c>
      <c r="B118" s="1">
        <v>45310</v>
      </c>
      <c r="C118" s="1" t="str">
        <f>TEXT(Sales_Table[[#This Row],[OrderDate]],"DDDD")</f>
        <v>Friday</v>
      </c>
      <c r="D118" s="1" t="str">
        <f>TEXT(Sales_Table[[#This Row],[OrderDate]],"MMMM")</f>
        <v>January</v>
      </c>
      <c r="E118" t="s">
        <v>237</v>
      </c>
      <c r="F118" t="s">
        <v>140</v>
      </c>
      <c r="G118">
        <v>5</v>
      </c>
      <c r="H118">
        <v>1689</v>
      </c>
      <c r="I118" t="str">
        <f>VLOOKUP(Sales_Table[[#This Row],[ProductID]],Product_Table[],2,FALSE)</f>
        <v>Product_3</v>
      </c>
      <c r="J118" t="str">
        <f>VLOOKUP(Sales_Table[[#This Row],[ProductID]],Product_Table[],3,FALSE)</f>
        <v>Home</v>
      </c>
      <c r="K118">
        <f>_xlfn.XLOOKUP(Sales_Table[[#This Row],[ProductID]],Product_Table[ProductID],Product_Table[UnitPrice],"NULL",0)</f>
        <v>337.8</v>
      </c>
      <c r="L118" t="str">
        <f>_xlfn.XLOOKUP(Sales_Table[[#This Row],[CustomerID]],Customer_Table[CustomerID],Customer_Table[CustomerName],"NULL",0)</f>
        <v>Customer_9</v>
      </c>
      <c r="M118" t="str">
        <f>INDEX(Customer_Table[Country],MATCH(Sales_Table[[#This Row],[CustomerID]],Customer_Table[CustomerID],0))</f>
        <v>United Kingdom</v>
      </c>
      <c r="N118" t="str">
        <f>INDEX(Customer_Table[Email],MATCH(Sales_Table[[#This Row],[CustomerID]],Customer_Table[CustomerID],0))</f>
        <v>customer9@email.com</v>
      </c>
    </row>
    <row r="119" spans="1:14" x14ac:dyDescent="0.3">
      <c r="A119" t="s">
        <v>238</v>
      </c>
      <c r="B119" s="1">
        <v>45398</v>
      </c>
      <c r="C119" s="1" t="str">
        <f>TEXT(Sales_Table[[#This Row],[OrderDate]],"DDDD")</f>
        <v>Tuesday</v>
      </c>
      <c r="D119" s="1" t="str">
        <f>TEXT(Sales_Table[[#This Row],[OrderDate]],"MMMM")</f>
        <v>April</v>
      </c>
      <c r="E119" t="s">
        <v>103</v>
      </c>
      <c r="F119" t="s">
        <v>239</v>
      </c>
      <c r="G119">
        <v>4</v>
      </c>
      <c r="H119">
        <v>974.52</v>
      </c>
      <c r="I119" t="str">
        <f>VLOOKUP(Sales_Table[[#This Row],[ProductID]],Product_Table[],2,FALSE)</f>
        <v>Product_34</v>
      </c>
      <c r="J119" t="str">
        <f>VLOOKUP(Sales_Table[[#This Row],[ProductID]],Product_Table[],3,FALSE)</f>
        <v>Sports</v>
      </c>
      <c r="K119">
        <f>_xlfn.XLOOKUP(Sales_Table[[#This Row],[ProductID]],Product_Table[ProductID],Product_Table[UnitPrice],"NULL",0)</f>
        <v>243.63</v>
      </c>
      <c r="L119" t="str">
        <f>_xlfn.XLOOKUP(Sales_Table[[#This Row],[CustomerID]],Customer_Table[CustomerID],Customer_Table[CustomerName],"NULL",0)</f>
        <v>Customer_99</v>
      </c>
      <c r="M119" t="str">
        <f>INDEX(Customer_Table[Country],MATCH(Sales_Table[[#This Row],[CustomerID]],Customer_Table[CustomerID],0))</f>
        <v>United Kingdom</v>
      </c>
      <c r="N119" t="str">
        <f>INDEX(Customer_Table[Email],MATCH(Sales_Table[[#This Row],[CustomerID]],Customer_Table[CustomerID],0))</f>
        <v>customer99@email.com</v>
      </c>
    </row>
    <row r="120" spans="1:14" x14ac:dyDescent="0.3">
      <c r="A120" t="s">
        <v>240</v>
      </c>
      <c r="B120" s="1">
        <v>45341</v>
      </c>
      <c r="C120" s="1" t="str">
        <f>TEXT(Sales_Table[[#This Row],[OrderDate]],"DDDD")</f>
        <v>Monday</v>
      </c>
      <c r="D120" s="1" t="str">
        <f>TEXT(Sales_Table[[#This Row],[OrderDate]],"MMMM")</f>
        <v>February</v>
      </c>
      <c r="E120" t="s">
        <v>241</v>
      </c>
      <c r="F120" t="s">
        <v>80</v>
      </c>
      <c r="G120">
        <v>5</v>
      </c>
      <c r="H120">
        <v>1083.5999999999999</v>
      </c>
      <c r="I120" t="str">
        <f>VLOOKUP(Sales_Table[[#This Row],[ProductID]],Product_Table[],2,FALSE)</f>
        <v>Product_16</v>
      </c>
      <c r="J120" t="str">
        <f>VLOOKUP(Sales_Table[[#This Row],[ProductID]],Product_Table[],3,FALSE)</f>
        <v>Clothing</v>
      </c>
      <c r="K120">
        <f>_xlfn.XLOOKUP(Sales_Table[[#This Row],[ProductID]],Product_Table[ProductID],Product_Table[UnitPrice],"NULL",0)</f>
        <v>216.72</v>
      </c>
      <c r="L120" t="str">
        <f>_xlfn.XLOOKUP(Sales_Table[[#This Row],[CustomerID]],Customer_Table[CustomerID],Customer_Table[CustomerName],"NULL",0)</f>
        <v>Customer_119</v>
      </c>
      <c r="M120" t="str">
        <f>INDEX(Customer_Table[Country],MATCH(Sales_Table[[#This Row],[CustomerID]],Customer_Table[CustomerID],0))</f>
        <v>India</v>
      </c>
      <c r="N120" t="str">
        <f>INDEX(Customer_Table[Email],MATCH(Sales_Table[[#This Row],[CustomerID]],Customer_Table[CustomerID],0))</f>
        <v>customer119@email.com</v>
      </c>
    </row>
    <row r="121" spans="1:14" x14ac:dyDescent="0.3">
      <c r="A121" t="s">
        <v>242</v>
      </c>
      <c r="B121" s="1">
        <v>45418</v>
      </c>
      <c r="C121" s="1" t="str">
        <f>TEXT(Sales_Table[[#This Row],[OrderDate]],"DDDD")</f>
        <v>Monday</v>
      </c>
      <c r="D121" s="1" t="str">
        <f>TEXT(Sales_Table[[#This Row],[OrderDate]],"MMMM")</f>
        <v>May</v>
      </c>
      <c r="E121" t="s">
        <v>243</v>
      </c>
      <c r="F121" t="s">
        <v>132</v>
      </c>
      <c r="G121">
        <v>4</v>
      </c>
      <c r="H121">
        <v>158.80000000000001</v>
      </c>
      <c r="I121" t="str">
        <f>VLOOKUP(Sales_Table[[#This Row],[ProductID]],Product_Table[],2,FALSE)</f>
        <v>Product_12</v>
      </c>
      <c r="J121" t="str">
        <f>VLOOKUP(Sales_Table[[#This Row],[ProductID]],Product_Table[],3,FALSE)</f>
        <v>Electronics</v>
      </c>
      <c r="K121">
        <f>_xlfn.XLOOKUP(Sales_Table[[#This Row],[ProductID]],Product_Table[ProductID],Product_Table[UnitPrice],"NULL",0)</f>
        <v>39.700000000000003</v>
      </c>
      <c r="L121" t="str">
        <f>_xlfn.XLOOKUP(Sales_Table[[#This Row],[CustomerID]],Customer_Table[CustomerID],Customer_Table[CustomerName],"NULL",0)</f>
        <v>Customer_47</v>
      </c>
      <c r="M121" t="str">
        <f>INDEX(Customer_Table[Country],MATCH(Sales_Table[[#This Row],[CustomerID]],Customer_Table[CustomerID],0))</f>
        <v>United States</v>
      </c>
      <c r="N121" t="str">
        <f>INDEX(Customer_Table[Email],MATCH(Sales_Table[[#This Row],[CustomerID]],Customer_Table[CustomerID],0))</f>
        <v>customer47@email.com</v>
      </c>
    </row>
    <row r="122" spans="1:14" x14ac:dyDescent="0.3">
      <c r="A122" t="s">
        <v>244</v>
      </c>
      <c r="B122" s="1">
        <v>45354</v>
      </c>
      <c r="C122" s="1" t="str">
        <f>TEXT(Sales_Table[[#This Row],[OrderDate]],"DDDD")</f>
        <v>Sunday</v>
      </c>
      <c r="D122" s="1" t="str">
        <f>TEXT(Sales_Table[[#This Row],[OrderDate]],"MMMM")</f>
        <v>March</v>
      </c>
      <c r="E122" t="s">
        <v>124</v>
      </c>
      <c r="F122" t="s">
        <v>154</v>
      </c>
      <c r="G122">
        <v>4</v>
      </c>
      <c r="H122">
        <v>1331.6</v>
      </c>
      <c r="I122" t="str">
        <f>VLOOKUP(Sales_Table[[#This Row],[ProductID]],Product_Table[],2,FALSE)</f>
        <v>Product_8</v>
      </c>
      <c r="J122" t="str">
        <f>VLOOKUP(Sales_Table[[#This Row],[ProductID]],Product_Table[],3,FALSE)</f>
        <v>Electronics</v>
      </c>
      <c r="K122">
        <f>_xlfn.XLOOKUP(Sales_Table[[#This Row],[ProductID]],Product_Table[ProductID],Product_Table[UnitPrice],"NULL",0)</f>
        <v>332.9</v>
      </c>
      <c r="L122" t="str">
        <f>_xlfn.XLOOKUP(Sales_Table[[#This Row],[CustomerID]],Customer_Table[CustomerID],Customer_Table[CustomerName],"NULL",0)</f>
        <v>Customer_116</v>
      </c>
      <c r="M122" t="str">
        <f>INDEX(Customer_Table[Country],MATCH(Sales_Table[[#This Row],[CustomerID]],Customer_Table[CustomerID],0))</f>
        <v>United Kingdom</v>
      </c>
      <c r="N122" t="str">
        <f>INDEX(Customer_Table[Email],MATCH(Sales_Table[[#This Row],[CustomerID]],Customer_Table[CustomerID],0))</f>
        <v>customer116@email.com</v>
      </c>
    </row>
    <row r="123" spans="1:14" x14ac:dyDescent="0.3">
      <c r="A123" t="s">
        <v>245</v>
      </c>
      <c r="B123" s="1">
        <v>45459</v>
      </c>
      <c r="C123" s="1" t="str">
        <f>TEXT(Sales_Table[[#This Row],[OrderDate]],"DDDD")</f>
        <v>Sunday</v>
      </c>
      <c r="D123" s="1" t="str">
        <f>TEXT(Sales_Table[[#This Row],[OrderDate]],"MMMM")</f>
        <v>June</v>
      </c>
      <c r="E123" t="s">
        <v>246</v>
      </c>
      <c r="F123" t="s">
        <v>19</v>
      </c>
      <c r="G123">
        <v>2</v>
      </c>
      <c r="H123">
        <v>79.739999999999995</v>
      </c>
      <c r="I123" t="str">
        <f>VLOOKUP(Sales_Table[[#This Row],[ProductID]],Product_Table[],2,FALSE)</f>
        <v>Product_32</v>
      </c>
      <c r="J123" t="str">
        <f>VLOOKUP(Sales_Table[[#This Row],[ProductID]],Product_Table[],3,FALSE)</f>
        <v>Sports</v>
      </c>
      <c r="K123">
        <f>_xlfn.XLOOKUP(Sales_Table[[#This Row],[ProductID]],Product_Table[ProductID],Product_Table[UnitPrice],"NULL",0)</f>
        <v>39.869999999999997</v>
      </c>
      <c r="L123" t="str">
        <f>_xlfn.XLOOKUP(Sales_Table[[#This Row],[CustomerID]],Customer_Table[CustomerID],Customer_Table[CustomerName],"NULL",0)</f>
        <v>Customer_105</v>
      </c>
      <c r="M123" t="str">
        <f>INDEX(Customer_Table[Country],MATCH(Sales_Table[[#This Row],[CustomerID]],Customer_Table[CustomerID],0))</f>
        <v>United Kingdom</v>
      </c>
      <c r="N123" t="str">
        <f>INDEX(Customer_Table[Email],MATCH(Sales_Table[[#This Row],[CustomerID]],Customer_Table[CustomerID],0))</f>
        <v>customer105@email.com</v>
      </c>
    </row>
    <row r="124" spans="1:14" x14ac:dyDescent="0.3">
      <c r="A124" t="s">
        <v>247</v>
      </c>
      <c r="B124" s="1">
        <v>45319</v>
      </c>
      <c r="C124" s="1" t="str">
        <f>TEXT(Sales_Table[[#This Row],[OrderDate]],"DDDD")</f>
        <v>Sunday</v>
      </c>
      <c r="D124" s="1" t="str">
        <f>TEXT(Sales_Table[[#This Row],[OrderDate]],"MMMM")</f>
        <v>January</v>
      </c>
      <c r="E124" t="s">
        <v>56</v>
      </c>
      <c r="F124" t="s">
        <v>239</v>
      </c>
      <c r="G124">
        <v>1</v>
      </c>
      <c r="H124">
        <v>243.63</v>
      </c>
      <c r="I124" t="str">
        <f>VLOOKUP(Sales_Table[[#This Row],[ProductID]],Product_Table[],2,FALSE)</f>
        <v>Product_34</v>
      </c>
      <c r="J124" t="str">
        <f>VLOOKUP(Sales_Table[[#This Row],[ProductID]],Product_Table[],3,FALSE)</f>
        <v>Sports</v>
      </c>
      <c r="K124">
        <f>_xlfn.XLOOKUP(Sales_Table[[#This Row],[ProductID]],Product_Table[ProductID],Product_Table[UnitPrice],"NULL",0)</f>
        <v>243.63</v>
      </c>
      <c r="L124" t="str">
        <f>_xlfn.XLOOKUP(Sales_Table[[#This Row],[CustomerID]],Customer_Table[CustomerID],Customer_Table[CustomerName],"NULL",0)</f>
        <v>Customer_49</v>
      </c>
      <c r="M124" t="str">
        <f>INDEX(Customer_Table[Country],MATCH(Sales_Table[[#This Row],[CustomerID]],Customer_Table[CustomerID],0))</f>
        <v>Canada</v>
      </c>
      <c r="N124" t="str">
        <f>INDEX(Customer_Table[Email],MATCH(Sales_Table[[#This Row],[CustomerID]],Customer_Table[CustomerID],0))</f>
        <v>customer49@email.com</v>
      </c>
    </row>
    <row r="125" spans="1:14" x14ac:dyDescent="0.3">
      <c r="A125" t="s">
        <v>248</v>
      </c>
      <c r="B125" s="1">
        <v>45348</v>
      </c>
      <c r="C125" s="1" t="str">
        <f>TEXT(Sales_Table[[#This Row],[OrderDate]],"DDDD")</f>
        <v>Monday</v>
      </c>
      <c r="D125" s="1" t="str">
        <f>TEXT(Sales_Table[[#This Row],[OrderDate]],"MMMM")</f>
        <v>February</v>
      </c>
      <c r="E125" t="s">
        <v>249</v>
      </c>
      <c r="F125" t="s">
        <v>144</v>
      </c>
      <c r="G125">
        <v>4</v>
      </c>
      <c r="H125">
        <v>1724.88</v>
      </c>
      <c r="I125" t="str">
        <f>VLOOKUP(Sales_Table[[#This Row],[ProductID]],Product_Table[],2,FALSE)</f>
        <v>Product_1</v>
      </c>
      <c r="J125" t="str">
        <f>VLOOKUP(Sales_Table[[#This Row],[ProductID]],Product_Table[],3,FALSE)</f>
        <v>Electronics</v>
      </c>
      <c r="K125">
        <f>_xlfn.XLOOKUP(Sales_Table[[#This Row],[ProductID]],Product_Table[ProductID],Product_Table[UnitPrice],"NULL",0)</f>
        <v>431.22</v>
      </c>
      <c r="L125" t="str">
        <f>_xlfn.XLOOKUP(Sales_Table[[#This Row],[CustomerID]],Customer_Table[CustomerID],Customer_Table[CustomerName],"NULL",0)</f>
        <v>Customer_15</v>
      </c>
      <c r="M125" t="str">
        <f>INDEX(Customer_Table[Country],MATCH(Sales_Table[[#This Row],[CustomerID]],Customer_Table[CustomerID],0))</f>
        <v>United States</v>
      </c>
      <c r="N125" t="str">
        <f>INDEX(Customer_Table[Email],MATCH(Sales_Table[[#This Row],[CustomerID]],Customer_Table[CustomerID],0))</f>
        <v>customer15@email.com</v>
      </c>
    </row>
    <row r="126" spans="1:14" x14ac:dyDescent="0.3">
      <c r="A126" t="s">
        <v>250</v>
      </c>
      <c r="B126" s="1">
        <v>45470</v>
      </c>
      <c r="C126" s="1" t="str">
        <f>TEXT(Sales_Table[[#This Row],[OrderDate]],"DDDD")</f>
        <v>Thursday</v>
      </c>
      <c r="D126" s="1" t="str">
        <f>TEXT(Sales_Table[[#This Row],[OrderDate]],"MMMM")</f>
        <v>June</v>
      </c>
      <c r="E126" t="s">
        <v>251</v>
      </c>
      <c r="F126" t="s">
        <v>80</v>
      </c>
      <c r="G126">
        <v>2</v>
      </c>
      <c r="H126">
        <v>433.44</v>
      </c>
      <c r="I126" t="str">
        <f>VLOOKUP(Sales_Table[[#This Row],[ProductID]],Product_Table[],2,FALSE)</f>
        <v>Product_16</v>
      </c>
      <c r="J126" t="str">
        <f>VLOOKUP(Sales_Table[[#This Row],[ProductID]],Product_Table[],3,FALSE)</f>
        <v>Clothing</v>
      </c>
      <c r="K126">
        <f>_xlfn.XLOOKUP(Sales_Table[[#This Row],[ProductID]],Product_Table[ProductID],Product_Table[UnitPrice],"NULL",0)</f>
        <v>216.72</v>
      </c>
      <c r="L126" t="str">
        <f>_xlfn.XLOOKUP(Sales_Table[[#This Row],[CustomerID]],Customer_Table[CustomerID],Customer_Table[CustomerName],"NULL",0)</f>
        <v>Customer_29</v>
      </c>
      <c r="M126" t="str">
        <f>INDEX(Customer_Table[Country],MATCH(Sales_Table[[#This Row],[CustomerID]],Customer_Table[CustomerID],0))</f>
        <v>India</v>
      </c>
      <c r="N126" t="str">
        <f>INDEX(Customer_Table[Email],MATCH(Sales_Table[[#This Row],[CustomerID]],Customer_Table[CustomerID],0))</f>
        <v>customer29@email.com</v>
      </c>
    </row>
    <row r="127" spans="1:14" x14ac:dyDescent="0.3">
      <c r="A127" t="s">
        <v>252</v>
      </c>
      <c r="B127" s="1">
        <v>45410</v>
      </c>
      <c r="C127" s="1" t="str">
        <f>TEXT(Sales_Table[[#This Row],[OrderDate]],"DDDD")</f>
        <v>Sunday</v>
      </c>
      <c r="D127" s="1" t="str">
        <f>TEXT(Sales_Table[[#This Row],[OrderDate]],"MMMM")</f>
        <v>April</v>
      </c>
      <c r="E127" t="s">
        <v>253</v>
      </c>
      <c r="F127" t="s">
        <v>60</v>
      </c>
      <c r="G127">
        <v>5</v>
      </c>
      <c r="H127">
        <v>429.25</v>
      </c>
      <c r="I127" t="str">
        <f>VLOOKUP(Sales_Table[[#This Row],[ProductID]],Product_Table[],2,FALSE)</f>
        <v>Product_29</v>
      </c>
      <c r="J127" t="str">
        <f>VLOOKUP(Sales_Table[[#This Row],[ProductID]],Product_Table[],3,FALSE)</f>
        <v>Beauty</v>
      </c>
      <c r="K127">
        <f>_xlfn.XLOOKUP(Sales_Table[[#This Row],[ProductID]],Product_Table[ProductID],Product_Table[UnitPrice],"NULL",0)</f>
        <v>85.85</v>
      </c>
      <c r="L127" t="str">
        <f>_xlfn.XLOOKUP(Sales_Table[[#This Row],[CustomerID]],Customer_Table[CustomerID],Customer_Table[CustomerName],"NULL",0)</f>
        <v>Customer_8</v>
      </c>
      <c r="M127" t="str">
        <f>INDEX(Customer_Table[Country],MATCH(Sales_Table[[#This Row],[CustomerID]],Customer_Table[CustomerID],0))</f>
        <v>United Kingdom</v>
      </c>
      <c r="N127" t="str">
        <f>INDEX(Customer_Table[Email],MATCH(Sales_Table[[#This Row],[CustomerID]],Customer_Table[CustomerID],0))</f>
        <v>customer8@email.com</v>
      </c>
    </row>
    <row r="128" spans="1:14" x14ac:dyDescent="0.3">
      <c r="A128" t="s">
        <v>254</v>
      </c>
      <c r="B128" s="1">
        <v>45434</v>
      </c>
      <c r="C128" s="1" t="str">
        <f>TEXT(Sales_Table[[#This Row],[OrderDate]],"DDDD")</f>
        <v>Wednesday</v>
      </c>
      <c r="D128" s="1" t="str">
        <f>TEXT(Sales_Table[[#This Row],[OrderDate]],"MMMM")</f>
        <v>May</v>
      </c>
      <c r="E128" t="s">
        <v>255</v>
      </c>
      <c r="F128" t="s">
        <v>57</v>
      </c>
      <c r="G128">
        <v>1</v>
      </c>
      <c r="H128">
        <v>293.8</v>
      </c>
      <c r="I128" t="str">
        <f>VLOOKUP(Sales_Table[[#This Row],[ProductID]],Product_Table[],2,FALSE)</f>
        <v>Product_31</v>
      </c>
      <c r="J128" t="str">
        <f>VLOOKUP(Sales_Table[[#This Row],[ProductID]],Product_Table[],3,FALSE)</f>
        <v>Electronics</v>
      </c>
      <c r="K128">
        <f>_xlfn.XLOOKUP(Sales_Table[[#This Row],[ProductID]],Product_Table[ProductID],Product_Table[UnitPrice],"NULL",0)</f>
        <v>293.8</v>
      </c>
      <c r="L128" t="str">
        <f>_xlfn.XLOOKUP(Sales_Table[[#This Row],[CustomerID]],Customer_Table[CustomerID],Customer_Table[CustomerName],"NULL",0)</f>
        <v>Customer_114</v>
      </c>
      <c r="M128" t="str">
        <f>INDEX(Customer_Table[Country],MATCH(Sales_Table[[#This Row],[CustomerID]],Customer_Table[CustomerID],0))</f>
        <v>United States</v>
      </c>
      <c r="N128" t="str">
        <f>INDEX(Customer_Table[Email],MATCH(Sales_Table[[#This Row],[CustomerID]],Customer_Table[CustomerID],0))</f>
        <v>customer114@email.com</v>
      </c>
    </row>
    <row r="129" spans="1:14" x14ac:dyDescent="0.3">
      <c r="A129" t="s">
        <v>256</v>
      </c>
      <c r="B129" s="1">
        <v>45323</v>
      </c>
      <c r="C129" s="1" t="str">
        <f>TEXT(Sales_Table[[#This Row],[OrderDate]],"DDDD")</f>
        <v>Thursday</v>
      </c>
      <c r="D129" s="1" t="str">
        <f>TEXT(Sales_Table[[#This Row],[OrderDate]],"MMMM")</f>
        <v>February</v>
      </c>
      <c r="E129" t="s">
        <v>257</v>
      </c>
      <c r="F129" t="s">
        <v>34</v>
      </c>
      <c r="G129">
        <v>2</v>
      </c>
      <c r="H129">
        <v>299.54000000000002</v>
      </c>
      <c r="I129" t="str">
        <f>VLOOKUP(Sales_Table[[#This Row],[ProductID]],Product_Table[],2,FALSE)</f>
        <v>Product_27</v>
      </c>
      <c r="J129" t="str">
        <f>VLOOKUP(Sales_Table[[#This Row],[ProductID]],Product_Table[],3,FALSE)</f>
        <v>Beauty</v>
      </c>
      <c r="K129">
        <f>_xlfn.XLOOKUP(Sales_Table[[#This Row],[ProductID]],Product_Table[ProductID],Product_Table[UnitPrice],"NULL",0)</f>
        <v>149.77000000000001</v>
      </c>
      <c r="L129" t="str">
        <f>_xlfn.XLOOKUP(Sales_Table[[#This Row],[CustomerID]],Customer_Table[CustomerID],Customer_Table[CustomerName],"NULL",0)</f>
        <v>Customer_26</v>
      </c>
      <c r="M129" t="str">
        <f>INDEX(Customer_Table[Country],MATCH(Sales_Table[[#This Row],[CustomerID]],Customer_Table[CustomerID],0))</f>
        <v>Canada</v>
      </c>
      <c r="N129" t="str">
        <f>INDEX(Customer_Table[Email],MATCH(Sales_Table[[#This Row],[CustomerID]],Customer_Table[CustomerID],0))</f>
        <v>customer26@email.com</v>
      </c>
    </row>
    <row r="130" spans="1:14" x14ac:dyDescent="0.3">
      <c r="A130" t="s">
        <v>258</v>
      </c>
      <c r="B130" s="1">
        <v>45326</v>
      </c>
      <c r="C130" s="1" t="str">
        <f>TEXT(Sales_Table[[#This Row],[OrderDate]],"DDDD")</f>
        <v>Sunday</v>
      </c>
      <c r="D130" s="1" t="str">
        <f>TEXT(Sales_Table[[#This Row],[OrderDate]],"MMMM")</f>
        <v>February</v>
      </c>
      <c r="E130" t="s">
        <v>193</v>
      </c>
      <c r="F130" t="s">
        <v>144</v>
      </c>
      <c r="G130">
        <v>4</v>
      </c>
      <c r="H130">
        <v>1724.88</v>
      </c>
      <c r="I130" t="str">
        <f>VLOOKUP(Sales_Table[[#This Row],[ProductID]],Product_Table[],2,FALSE)</f>
        <v>Product_1</v>
      </c>
      <c r="J130" t="str">
        <f>VLOOKUP(Sales_Table[[#This Row],[ProductID]],Product_Table[],3,FALSE)</f>
        <v>Electronics</v>
      </c>
      <c r="K130">
        <f>_xlfn.XLOOKUP(Sales_Table[[#This Row],[ProductID]],Product_Table[ProductID],Product_Table[UnitPrice],"NULL",0)</f>
        <v>431.22</v>
      </c>
      <c r="L130" t="str">
        <f>_xlfn.XLOOKUP(Sales_Table[[#This Row],[CustomerID]],Customer_Table[CustomerID],Customer_Table[CustomerName],"NULL",0)</f>
        <v>Customer_87</v>
      </c>
      <c r="M130" t="str">
        <f>INDEX(Customer_Table[Country],MATCH(Sales_Table[[#This Row],[CustomerID]],Customer_Table[CustomerID],0))</f>
        <v>India</v>
      </c>
      <c r="N130" t="str">
        <f>INDEX(Customer_Table[Email],MATCH(Sales_Table[[#This Row],[CustomerID]],Customer_Table[CustomerID],0))</f>
        <v>customer87@email.com</v>
      </c>
    </row>
    <row r="131" spans="1:14" x14ac:dyDescent="0.3">
      <c r="A131" t="s">
        <v>259</v>
      </c>
      <c r="B131" s="1">
        <v>45462</v>
      </c>
      <c r="C131" s="1" t="str">
        <f>TEXT(Sales_Table[[#This Row],[OrderDate]],"DDDD")</f>
        <v>Wednesday</v>
      </c>
      <c r="D131" s="1" t="str">
        <f>TEXT(Sales_Table[[#This Row],[OrderDate]],"MMMM")</f>
        <v>June</v>
      </c>
      <c r="E131" t="s">
        <v>206</v>
      </c>
      <c r="F131" t="s">
        <v>116</v>
      </c>
      <c r="G131">
        <v>4</v>
      </c>
      <c r="H131">
        <v>197</v>
      </c>
      <c r="I131" t="str">
        <f>VLOOKUP(Sales_Table[[#This Row],[ProductID]],Product_Table[],2,FALSE)</f>
        <v>Product_36</v>
      </c>
      <c r="J131" t="str">
        <f>VLOOKUP(Sales_Table[[#This Row],[ProductID]],Product_Table[],3,FALSE)</f>
        <v>Sports</v>
      </c>
      <c r="K131">
        <f>_xlfn.XLOOKUP(Sales_Table[[#This Row],[ProductID]],Product_Table[ProductID],Product_Table[UnitPrice],"NULL",0)</f>
        <v>49.25</v>
      </c>
      <c r="L131" t="str">
        <f>_xlfn.XLOOKUP(Sales_Table[[#This Row],[CustomerID]],Customer_Table[CustomerID],Customer_Table[CustomerName],"NULL",0)</f>
        <v>Customer_69</v>
      </c>
      <c r="M131" t="str">
        <f>INDEX(Customer_Table[Country],MATCH(Sales_Table[[#This Row],[CustomerID]],Customer_Table[CustomerID],0))</f>
        <v>United Kingdom</v>
      </c>
      <c r="N131" t="str">
        <f>INDEX(Customer_Table[Email],MATCH(Sales_Table[[#This Row],[CustomerID]],Customer_Table[CustomerID],0))</f>
        <v>customer69@email.com</v>
      </c>
    </row>
    <row r="132" spans="1:14" x14ac:dyDescent="0.3">
      <c r="A132" t="s">
        <v>260</v>
      </c>
      <c r="B132" s="1">
        <v>45435</v>
      </c>
      <c r="C132" s="1" t="str">
        <f>TEXT(Sales_Table[[#This Row],[OrderDate]],"DDDD")</f>
        <v>Thursday</v>
      </c>
      <c r="D132" s="1" t="str">
        <f>TEXT(Sales_Table[[#This Row],[OrderDate]],"MMMM")</f>
        <v>May</v>
      </c>
      <c r="E132" t="s">
        <v>184</v>
      </c>
      <c r="F132" t="s">
        <v>130</v>
      </c>
      <c r="G132">
        <v>5</v>
      </c>
      <c r="H132">
        <v>435.7</v>
      </c>
      <c r="I132" t="str">
        <f>VLOOKUP(Sales_Table[[#This Row],[ProductID]],Product_Table[],2,FALSE)</f>
        <v>Product_35</v>
      </c>
      <c r="J132" t="str">
        <f>VLOOKUP(Sales_Table[[#This Row],[ProductID]],Product_Table[],3,FALSE)</f>
        <v>Sports</v>
      </c>
      <c r="K132">
        <f>_xlfn.XLOOKUP(Sales_Table[[#This Row],[ProductID]],Product_Table[ProductID],Product_Table[UnitPrice],"NULL",0)</f>
        <v>87.14</v>
      </c>
      <c r="L132" t="str">
        <f>_xlfn.XLOOKUP(Sales_Table[[#This Row],[CustomerID]],Customer_Table[CustomerID],Customer_Table[CustomerName],"NULL",0)</f>
        <v>Customer_35</v>
      </c>
      <c r="M132" t="str">
        <f>INDEX(Customer_Table[Country],MATCH(Sales_Table[[#This Row],[CustomerID]],Customer_Table[CustomerID],0))</f>
        <v>United Kingdom</v>
      </c>
      <c r="N132" t="str">
        <f>INDEX(Customer_Table[Email],MATCH(Sales_Table[[#This Row],[CustomerID]],Customer_Table[CustomerID],0))</f>
        <v>customer35@email.com</v>
      </c>
    </row>
    <row r="133" spans="1:14" x14ac:dyDescent="0.3">
      <c r="A133" t="s">
        <v>261</v>
      </c>
      <c r="B133" s="1">
        <v>45373</v>
      </c>
      <c r="C133" s="1" t="str">
        <f>TEXT(Sales_Table[[#This Row],[OrderDate]],"DDDD")</f>
        <v>Friday</v>
      </c>
      <c r="D133" s="1" t="str">
        <f>TEXT(Sales_Table[[#This Row],[OrderDate]],"MMMM")</f>
        <v>March</v>
      </c>
      <c r="E133" t="s">
        <v>65</v>
      </c>
      <c r="F133" t="s">
        <v>80</v>
      </c>
      <c r="G133">
        <v>5</v>
      </c>
      <c r="H133">
        <v>1083.5999999999999</v>
      </c>
      <c r="I133" t="str">
        <f>VLOOKUP(Sales_Table[[#This Row],[ProductID]],Product_Table[],2,FALSE)</f>
        <v>Product_16</v>
      </c>
      <c r="J133" t="str">
        <f>VLOOKUP(Sales_Table[[#This Row],[ProductID]],Product_Table[],3,FALSE)</f>
        <v>Clothing</v>
      </c>
      <c r="K133">
        <f>_xlfn.XLOOKUP(Sales_Table[[#This Row],[ProductID]],Product_Table[ProductID],Product_Table[UnitPrice],"NULL",0)</f>
        <v>216.72</v>
      </c>
      <c r="L133" t="str">
        <f>_xlfn.XLOOKUP(Sales_Table[[#This Row],[CustomerID]],Customer_Table[CustomerID],Customer_Table[CustomerName],"NULL",0)</f>
        <v>Customer_83</v>
      </c>
      <c r="M133" t="str">
        <f>INDEX(Customer_Table[Country],MATCH(Sales_Table[[#This Row],[CustomerID]],Customer_Table[CustomerID],0))</f>
        <v>United Kingdom</v>
      </c>
      <c r="N133" t="str">
        <f>INDEX(Customer_Table[Email],MATCH(Sales_Table[[#This Row],[CustomerID]],Customer_Table[CustomerID],0))</f>
        <v>customer83@email.com</v>
      </c>
    </row>
    <row r="134" spans="1:14" x14ac:dyDescent="0.3">
      <c r="A134" t="s">
        <v>262</v>
      </c>
      <c r="B134" s="1">
        <v>45448</v>
      </c>
      <c r="C134" s="1" t="str">
        <f>TEXT(Sales_Table[[#This Row],[OrderDate]],"DDDD")</f>
        <v>Wednesday</v>
      </c>
      <c r="D134" s="1" t="str">
        <f>TEXT(Sales_Table[[#This Row],[OrderDate]],"MMMM")</f>
        <v>June</v>
      </c>
      <c r="E134" t="s">
        <v>263</v>
      </c>
      <c r="F134" t="s">
        <v>186</v>
      </c>
      <c r="G134">
        <v>4</v>
      </c>
      <c r="H134">
        <v>870.2</v>
      </c>
      <c r="I134" t="str">
        <f>VLOOKUP(Sales_Table[[#This Row],[ProductID]],Product_Table[],2,FALSE)</f>
        <v>Product_9</v>
      </c>
      <c r="J134" t="str">
        <f>VLOOKUP(Sales_Table[[#This Row],[ProductID]],Product_Table[],3,FALSE)</f>
        <v>Home</v>
      </c>
      <c r="K134">
        <f>_xlfn.XLOOKUP(Sales_Table[[#This Row],[ProductID]],Product_Table[ProductID],Product_Table[UnitPrice],"NULL",0)</f>
        <v>217.55</v>
      </c>
      <c r="L134" t="str">
        <f>_xlfn.XLOOKUP(Sales_Table[[#This Row],[CustomerID]],Customer_Table[CustomerID],Customer_Table[CustomerName],"NULL",0)</f>
        <v>Customer_58</v>
      </c>
      <c r="M134" t="str">
        <f>INDEX(Customer_Table[Country],MATCH(Sales_Table[[#This Row],[CustomerID]],Customer_Table[CustomerID],0))</f>
        <v>India</v>
      </c>
      <c r="N134" t="str">
        <f>INDEX(Customer_Table[Email],MATCH(Sales_Table[[#This Row],[CustomerID]],Customer_Table[CustomerID],0))</f>
        <v>customer58@email.com</v>
      </c>
    </row>
    <row r="135" spans="1:14" x14ac:dyDescent="0.3">
      <c r="A135" t="s">
        <v>264</v>
      </c>
      <c r="B135" s="1">
        <v>45401</v>
      </c>
      <c r="C135" s="1" t="str">
        <f>TEXT(Sales_Table[[#This Row],[OrderDate]],"DDDD")</f>
        <v>Friday</v>
      </c>
      <c r="D135" s="1" t="str">
        <f>TEXT(Sales_Table[[#This Row],[OrderDate]],"MMMM")</f>
        <v>April</v>
      </c>
      <c r="E135" t="s">
        <v>84</v>
      </c>
      <c r="F135" t="s">
        <v>130</v>
      </c>
      <c r="G135">
        <v>5</v>
      </c>
      <c r="H135">
        <v>435.7</v>
      </c>
      <c r="I135" t="str">
        <f>VLOOKUP(Sales_Table[[#This Row],[ProductID]],Product_Table[],2,FALSE)</f>
        <v>Product_35</v>
      </c>
      <c r="J135" t="str">
        <f>VLOOKUP(Sales_Table[[#This Row],[ProductID]],Product_Table[],3,FALSE)</f>
        <v>Sports</v>
      </c>
      <c r="K135">
        <f>_xlfn.XLOOKUP(Sales_Table[[#This Row],[ProductID]],Product_Table[ProductID],Product_Table[UnitPrice],"NULL",0)</f>
        <v>87.14</v>
      </c>
      <c r="L135" t="str">
        <f>_xlfn.XLOOKUP(Sales_Table[[#This Row],[CustomerID]],Customer_Table[CustomerID],Customer_Table[CustomerName],"NULL",0)</f>
        <v>Customer_56</v>
      </c>
      <c r="M135" t="str">
        <f>INDEX(Customer_Table[Country],MATCH(Sales_Table[[#This Row],[CustomerID]],Customer_Table[CustomerID],0))</f>
        <v>United Kingdom</v>
      </c>
      <c r="N135" t="str">
        <f>INDEX(Customer_Table[Email],MATCH(Sales_Table[[#This Row],[CustomerID]],Customer_Table[CustomerID],0))</f>
        <v>customer56@email.com</v>
      </c>
    </row>
    <row r="136" spans="1:14" x14ac:dyDescent="0.3">
      <c r="A136" t="s">
        <v>265</v>
      </c>
      <c r="B136" s="1">
        <v>45406</v>
      </c>
      <c r="C136" s="1" t="str">
        <f>TEXT(Sales_Table[[#This Row],[OrderDate]],"DDDD")</f>
        <v>Wednesday</v>
      </c>
      <c r="D136" s="1" t="str">
        <f>TEXT(Sales_Table[[#This Row],[OrderDate]],"MMMM")</f>
        <v>April</v>
      </c>
      <c r="E136" t="s">
        <v>266</v>
      </c>
      <c r="F136" t="s">
        <v>137</v>
      </c>
      <c r="G136">
        <v>5</v>
      </c>
      <c r="H136">
        <v>583.35</v>
      </c>
      <c r="I136" t="str">
        <f>VLOOKUP(Sales_Table[[#This Row],[ProductID]],Product_Table[],2,FALSE)</f>
        <v>Product_30</v>
      </c>
      <c r="J136" t="str">
        <f>VLOOKUP(Sales_Table[[#This Row],[ProductID]],Product_Table[],3,FALSE)</f>
        <v>Home</v>
      </c>
      <c r="K136">
        <f>_xlfn.XLOOKUP(Sales_Table[[#This Row],[ProductID]],Product_Table[ProductID],Product_Table[UnitPrice],"NULL",0)</f>
        <v>116.67</v>
      </c>
      <c r="L136" t="str">
        <f>_xlfn.XLOOKUP(Sales_Table[[#This Row],[CustomerID]],Customer_Table[CustomerID],Customer_Table[CustomerName],"NULL",0)</f>
        <v>Customer_45</v>
      </c>
      <c r="M136" t="str">
        <f>INDEX(Customer_Table[Country],MATCH(Sales_Table[[#This Row],[CustomerID]],Customer_Table[CustomerID],0))</f>
        <v>Canada</v>
      </c>
      <c r="N136" t="str">
        <f>INDEX(Customer_Table[Email],MATCH(Sales_Table[[#This Row],[CustomerID]],Customer_Table[CustomerID],0))</f>
        <v>customer45@email.com</v>
      </c>
    </row>
    <row r="137" spans="1:14" x14ac:dyDescent="0.3">
      <c r="A137" t="s">
        <v>267</v>
      </c>
      <c r="B137" s="1">
        <v>45413</v>
      </c>
      <c r="C137" s="1" t="str">
        <f>TEXT(Sales_Table[[#This Row],[OrderDate]],"DDDD")</f>
        <v>Wednesday</v>
      </c>
      <c r="D137" s="1" t="str">
        <f>TEXT(Sales_Table[[#This Row],[OrderDate]],"MMMM")</f>
        <v>May</v>
      </c>
      <c r="E137" t="s">
        <v>121</v>
      </c>
      <c r="F137" t="s">
        <v>268</v>
      </c>
      <c r="G137">
        <v>2</v>
      </c>
      <c r="H137">
        <v>391.4</v>
      </c>
      <c r="I137" t="str">
        <f>VLOOKUP(Sales_Table[[#This Row],[ProductID]],Product_Table[],2,FALSE)</f>
        <v>Product_25</v>
      </c>
      <c r="J137" t="str">
        <f>VLOOKUP(Sales_Table[[#This Row],[ProductID]],Product_Table[],3,FALSE)</f>
        <v>Clothing</v>
      </c>
      <c r="K137">
        <f>_xlfn.XLOOKUP(Sales_Table[[#This Row],[ProductID]],Product_Table[ProductID],Product_Table[UnitPrice],"NULL",0)</f>
        <v>195.7</v>
      </c>
      <c r="L137" t="str">
        <f>_xlfn.XLOOKUP(Sales_Table[[#This Row],[CustomerID]],Customer_Table[CustomerID],Customer_Table[CustomerName],"NULL",0)</f>
        <v>Customer_50</v>
      </c>
      <c r="M137" t="str">
        <f>INDEX(Customer_Table[Country],MATCH(Sales_Table[[#This Row],[CustomerID]],Customer_Table[CustomerID],0))</f>
        <v>India</v>
      </c>
      <c r="N137" t="str">
        <f>INDEX(Customer_Table[Email],MATCH(Sales_Table[[#This Row],[CustomerID]],Customer_Table[CustomerID],0))</f>
        <v>customer50@email.com</v>
      </c>
    </row>
    <row r="138" spans="1:14" x14ac:dyDescent="0.3">
      <c r="A138" t="s">
        <v>269</v>
      </c>
      <c r="B138" s="1">
        <v>45358</v>
      </c>
      <c r="C138" s="1" t="str">
        <f>TEXT(Sales_Table[[#This Row],[OrderDate]],"DDDD")</f>
        <v>Thursday</v>
      </c>
      <c r="D138" s="1" t="str">
        <f>TEXT(Sales_Table[[#This Row],[OrderDate]],"MMMM")</f>
        <v>March</v>
      </c>
      <c r="E138" t="s">
        <v>190</v>
      </c>
      <c r="F138" t="s">
        <v>122</v>
      </c>
      <c r="G138">
        <v>4</v>
      </c>
      <c r="H138">
        <v>908.52</v>
      </c>
      <c r="I138" t="str">
        <f>VLOOKUP(Sales_Table[[#This Row],[ProductID]],Product_Table[],2,FALSE)</f>
        <v>Product_18</v>
      </c>
      <c r="J138" t="str">
        <f>VLOOKUP(Sales_Table[[#This Row],[ProductID]],Product_Table[],3,FALSE)</f>
        <v>Electronics</v>
      </c>
      <c r="K138">
        <f>_xlfn.XLOOKUP(Sales_Table[[#This Row],[ProductID]],Product_Table[ProductID],Product_Table[UnitPrice],"NULL",0)</f>
        <v>227.13</v>
      </c>
      <c r="L138" t="str">
        <f>_xlfn.XLOOKUP(Sales_Table[[#This Row],[CustomerID]],Customer_Table[CustomerID],Customer_Table[CustomerName],"NULL",0)</f>
        <v>Customer_88</v>
      </c>
      <c r="M138" t="str">
        <f>INDEX(Customer_Table[Country],MATCH(Sales_Table[[#This Row],[CustomerID]],Customer_Table[CustomerID],0))</f>
        <v>Canada</v>
      </c>
      <c r="N138" t="str">
        <f>INDEX(Customer_Table[Email],MATCH(Sales_Table[[#This Row],[CustomerID]],Customer_Table[CustomerID],0))</f>
        <v>customer88@email.com</v>
      </c>
    </row>
    <row r="139" spans="1:14" x14ac:dyDescent="0.3">
      <c r="A139" t="s">
        <v>270</v>
      </c>
      <c r="B139" s="1">
        <v>45455</v>
      </c>
      <c r="C139" s="1" t="str">
        <f>TEXT(Sales_Table[[#This Row],[OrderDate]],"DDDD")</f>
        <v>Wednesday</v>
      </c>
      <c r="D139" s="1" t="str">
        <f>TEXT(Sales_Table[[#This Row],[OrderDate]],"MMMM")</f>
        <v>June</v>
      </c>
      <c r="E139" t="s">
        <v>109</v>
      </c>
      <c r="F139" t="s">
        <v>186</v>
      </c>
      <c r="G139">
        <v>2</v>
      </c>
      <c r="H139">
        <v>435.1</v>
      </c>
      <c r="I139" t="str">
        <f>VLOOKUP(Sales_Table[[#This Row],[ProductID]],Product_Table[],2,FALSE)</f>
        <v>Product_9</v>
      </c>
      <c r="J139" t="str">
        <f>VLOOKUP(Sales_Table[[#This Row],[ProductID]],Product_Table[],3,FALSE)</f>
        <v>Home</v>
      </c>
      <c r="K139">
        <f>_xlfn.XLOOKUP(Sales_Table[[#This Row],[ProductID]],Product_Table[ProductID],Product_Table[UnitPrice],"NULL",0)</f>
        <v>217.55</v>
      </c>
      <c r="L139" t="str">
        <f>_xlfn.XLOOKUP(Sales_Table[[#This Row],[CustomerID]],Customer_Table[CustomerID],Customer_Table[CustomerName],"NULL",0)</f>
        <v>Customer_81</v>
      </c>
      <c r="M139" t="str">
        <f>INDEX(Customer_Table[Country],MATCH(Sales_Table[[#This Row],[CustomerID]],Customer_Table[CustomerID],0))</f>
        <v>United States</v>
      </c>
      <c r="N139" t="str">
        <f>INDEX(Customer_Table[Email],MATCH(Sales_Table[[#This Row],[CustomerID]],Customer_Table[CustomerID],0))</f>
        <v>customer81@email.com</v>
      </c>
    </row>
    <row r="140" spans="1:14" x14ac:dyDescent="0.3">
      <c r="A140" t="s">
        <v>271</v>
      </c>
      <c r="B140" s="1">
        <v>45425</v>
      </c>
      <c r="C140" s="1" t="str">
        <f>TEXT(Sales_Table[[#This Row],[OrderDate]],"DDDD")</f>
        <v>Monday</v>
      </c>
      <c r="D140" s="1" t="str">
        <f>TEXT(Sales_Table[[#This Row],[OrderDate]],"MMMM")</f>
        <v>May</v>
      </c>
      <c r="E140" t="s">
        <v>272</v>
      </c>
      <c r="F140" t="s">
        <v>76</v>
      </c>
      <c r="G140">
        <v>3</v>
      </c>
      <c r="H140">
        <v>1206.8699999999999</v>
      </c>
      <c r="I140" t="str">
        <f>VLOOKUP(Sales_Table[[#This Row],[ProductID]],Product_Table[],2,FALSE)</f>
        <v>Product_13</v>
      </c>
      <c r="J140" t="str">
        <f>VLOOKUP(Sales_Table[[#This Row],[ProductID]],Product_Table[],3,FALSE)</f>
        <v>Home</v>
      </c>
      <c r="K140">
        <f>_xlfn.XLOOKUP(Sales_Table[[#This Row],[ProductID]],Product_Table[ProductID],Product_Table[UnitPrice],"NULL",0)</f>
        <v>402.29</v>
      </c>
      <c r="L140" t="str">
        <f>_xlfn.XLOOKUP(Sales_Table[[#This Row],[CustomerID]],Customer_Table[CustomerID],Customer_Table[CustomerName],"NULL",0)</f>
        <v>Customer_67</v>
      </c>
      <c r="M140" t="str">
        <f>INDEX(Customer_Table[Country],MATCH(Sales_Table[[#This Row],[CustomerID]],Customer_Table[CustomerID],0))</f>
        <v>Canada</v>
      </c>
      <c r="N140" t="str">
        <f>INDEX(Customer_Table[Email],MATCH(Sales_Table[[#This Row],[CustomerID]],Customer_Table[CustomerID],0))</f>
        <v>customer67@email.com</v>
      </c>
    </row>
    <row r="141" spans="1:14" x14ac:dyDescent="0.3">
      <c r="A141" t="s">
        <v>273</v>
      </c>
      <c r="B141" s="1">
        <v>45452</v>
      </c>
      <c r="C141" s="1" t="str">
        <f>TEXT(Sales_Table[[#This Row],[OrderDate]],"DDDD")</f>
        <v>Sunday</v>
      </c>
      <c r="D141" s="1" t="str">
        <f>TEXT(Sales_Table[[#This Row],[OrderDate]],"MMMM")</f>
        <v>June</v>
      </c>
      <c r="E141" t="s">
        <v>158</v>
      </c>
      <c r="F141" t="s">
        <v>239</v>
      </c>
      <c r="G141">
        <v>4</v>
      </c>
      <c r="H141">
        <v>974.52</v>
      </c>
      <c r="I141" t="str">
        <f>VLOOKUP(Sales_Table[[#This Row],[ProductID]],Product_Table[],2,FALSE)</f>
        <v>Product_34</v>
      </c>
      <c r="J141" t="str">
        <f>VLOOKUP(Sales_Table[[#This Row],[ProductID]],Product_Table[],3,FALSE)</f>
        <v>Sports</v>
      </c>
      <c r="K141">
        <f>_xlfn.XLOOKUP(Sales_Table[[#This Row],[ProductID]],Product_Table[ProductID],Product_Table[UnitPrice],"NULL",0)</f>
        <v>243.63</v>
      </c>
      <c r="L141" t="str">
        <f>_xlfn.XLOOKUP(Sales_Table[[#This Row],[CustomerID]],Customer_Table[CustomerID],Customer_Table[CustomerName],"NULL",0)</f>
        <v>Customer_12</v>
      </c>
      <c r="M141" t="str">
        <f>INDEX(Customer_Table[Country],MATCH(Sales_Table[[#This Row],[CustomerID]],Customer_Table[CustomerID],0))</f>
        <v>United Kingdom</v>
      </c>
      <c r="N141" t="str">
        <f>INDEX(Customer_Table[Email],MATCH(Sales_Table[[#This Row],[CustomerID]],Customer_Table[CustomerID],0))</f>
        <v>customer12@email.com</v>
      </c>
    </row>
    <row r="142" spans="1:14" x14ac:dyDescent="0.3">
      <c r="A142" t="s">
        <v>274</v>
      </c>
      <c r="B142" s="1">
        <v>45362</v>
      </c>
      <c r="C142" s="1" t="str">
        <f>TEXT(Sales_Table[[#This Row],[OrderDate]],"DDDD")</f>
        <v>Monday</v>
      </c>
      <c r="D142" s="1" t="str">
        <f>TEXT(Sales_Table[[#This Row],[OrderDate]],"MMMM")</f>
        <v>March</v>
      </c>
      <c r="E142" t="s">
        <v>101</v>
      </c>
      <c r="F142" t="s">
        <v>57</v>
      </c>
      <c r="G142">
        <v>2</v>
      </c>
      <c r="H142">
        <v>587.6</v>
      </c>
      <c r="I142" t="str">
        <f>VLOOKUP(Sales_Table[[#This Row],[ProductID]],Product_Table[],2,FALSE)</f>
        <v>Product_31</v>
      </c>
      <c r="J142" t="str">
        <f>VLOOKUP(Sales_Table[[#This Row],[ProductID]],Product_Table[],3,FALSE)</f>
        <v>Electronics</v>
      </c>
      <c r="K142">
        <f>_xlfn.XLOOKUP(Sales_Table[[#This Row],[ProductID]],Product_Table[ProductID],Product_Table[UnitPrice],"NULL",0)</f>
        <v>293.8</v>
      </c>
      <c r="L142" t="str">
        <f>_xlfn.XLOOKUP(Sales_Table[[#This Row],[CustomerID]],Customer_Table[CustomerID],Customer_Table[CustomerName],"NULL",0)</f>
        <v>Customer_73</v>
      </c>
      <c r="M142" t="str">
        <f>INDEX(Customer_Table[Country],MATCH(Sales_Table[[#This Row],[CustomerID]],Customer_Table[CustomerID],0))</f>
        <v>United States</v>
      </c>
      <c r="N142" t="str">
        <f>INDEX(Customer_Table[Email],MATCH(Sales_Table[[#This Row],[CustomerID]],Customer_Table[CustomerID],0))</f>
        <v>customer73@email.com</v>
      </c>
    </row>
    <row r="143" spans="1:14" x14ac:dyDescent="0.3">
      <c r="A143" t="s">
        <v>275</v>
      </c>
      <c r="B143" s="1">
        <v>45311</v>
      </c>
      <c r="C143" s="1" t="str">
        <f>TEXT(Sales_Table[[#This Row],[OrderDate]],"DDDD")</f>
        <v>Saturday</v>
      </c>
      <c r="D143" s="1" t="str">
        <f>TEXT(Sales_Table[[#This Row],[OrderDate]],"MMMM")</f>
        <v>January</v>
      </c>
      <c r="E143" t="s">
        <v>230</v>
      </c>
      <c r="F143" t="s">
        <v>36</v>
      </c>
      <c r="G143">
        <v>4</v>
      </c>
      <c r="H143">
        <v>1808.8</v>
      </c>
      <c r="I143" t="str">
        <f>VLOOKUP(Sales_Table[[#This Row],[ProductID]],Product_Table[],2,FALSE)</f>
        <v>Product_24</v>
      </c>
      <c r="J143" t="str">
        <f>VLOOKUP(Sales_Table[[#This Row],[ProductID]],Product_Table[],3,FALSE)</f>
        <v>Beauty</v>
      </c>
      <c r="K143">
        <f>_xlfn.XLOOKUP(Sales_Table[[#This Row],[ProductID]],Product_Table[ProductID],Product_Table[UnitPrice],"NULL",0)</f>
        <v>452.2</v>
      </c>
      <c r="L143" t="str">
        <f>_xlfn.XLOOKUP(Sales_Table[[#This Row],[CustomerID]],Customer_Table[CustomerID],Customer_Table[CustomerName],"NULL",0)</f>
        <v>Customer_106</v>
      </c>
      <c r="M143" t="str">
        <f>INDEX(Customer_Table[Country],MATCH(Sales_Table[[#This Row],[CustomerID]],Customer_Table[CustomerID],0))</f>
        <v>India</v>
      </c>
      <c r="N143" t="str">
        <f>INDEX(Customer_Table[Email],MATCH(Sales_Table[[#This Row],[CustomerID]],Customer_Table[CustomerID],0))</f>
        <v>customer106@email.com</v>
      </c>
    </row>
    <row r="144" spans="1:14" x14ac:dyDescent="0.3">
      <c r="A144" t="s">
        <v>276</v>
      </c>
      <c r="B144" s="1">
        <v>45352</v>
      </c>
      <c r="C144" s="1" t="str">
        <f>TEXT(Sales_Table[[#This Row],[OrderDate]],"DDDD")</f>
        <v>Friday</v>
      </c>
      <c r="D144" s="1" t="str">
        <f>TEXT(Sales_Table[[#This Row],[OrderDate]],"MMMM")</f>
        <v>March</v>
      </c>
      <c r="E144" t="s">
        <v>277</v>
      </c>
      <c r="F144" t="s">
        <v>22</v>
      </c>
      <c r="G144">
        <v>3</v>
      </c>
      <c r="H144">
        <v>710.07</v>
      </c>
      <c r="I144" t="str">
        <f>VLOOKUP(Sales_Table[[#This Row],[ProductID]],Product_Table[],2,FALSE)</f>
        <v>Product_17</v>
      </c>
      <c r="J144" t="str">
        <f>VLOOKUP(Sales_Table[[#This Row],[ProductID]],Product_Table[],3,FALSE)</f>
        <v>Home</v>
      </c>
      <c r="K144">
        <f>_xlfn.XLOOKUP(Sales_Table[[#This Row],[ProductID]],Product_Table[ProductID],Product_Table[UnitPrice],"NULL",0)</f>
        <v>236.69</v>
      </c>
      <c r="L144" t="str">
        <f>_xlfn.XLOOKUP(Sales_Table[[#This Row],[CustomerID]],Customer_Table[CustomerID],Customer_Table[CustomerName],"NULL",0)</f>
        <v>Customer_20</v>
      </c>
      <c r="M144" t="str">
        <f>INDEX(Customer_Table[Country],MATCH(Sales_Table[[#This Row],[CustomerID]],Customer_Table[CustomerID],0))</f>
        <v>United Kingdom</v>
      </c>
      <c r="N144" t="str">
        <f>INDEX(Customer_Table[Email],MATCH(Sales_Table[[#This Row],[CustomerID]],Customer_Table[CustomerID],0))</f>
        <v>customer20@email.com</v>
      </c>
    </row>
    <row r="145" spans="1:14" x14ac:dyDescent="0.3">
      <c r="A145" t="s">
        <v>278</v>
      </c>
      <c r="B145" s="1">
        <v>45377</v>
      </c>
      <c r="C145" s="1" t="str">
        <f>TEXT(Sales_Table[[#This Row],[OrderDate]],"DDDD")</f>
        <v>Tuesday</v>
      </c>
      <c r="D145" s="1" t="str">
        <f>TEXT(Sales_Table[[#This Row],[OrderDate]],"MMMM")</f>
        <v>March</v>
      </c>
      <c r="E145" t="s">
        <v>147</v>
      </c>
      <c r="F145" t="s">
        <v>154</v>
      </c>
      <c r="G145">
        <v>3</v>
      </c>
      <c r="H145">
        <v>998.7</v>
      </c>
      <c r="I145" t="str">
        <f>VLOOKUP(Sales_Table[[#This Row],[ProductID]],Product_Table[],2,FALSE)</f>
        <v>Product_8</v>
      </c>
      <c r="J145" t="str">
        <f>VLOOKUP(Sales_Table[[#This Row],[ProductID]],Product_Table[],3,FALSE)</f>
        <v>Electronics</v>
      </c>
      <c r="K145">
        <f>_xlfn.XLOOKUP(Sales_Table[[#This Row],[ProductID]],Product_Table[ProductID],Product_Table[UnitPrice],"NULL",0)</f>
        <v>332.9</v>
      </c>
      <c r="L145" t="str">
        <f>_xlfn.XLOOKUP(Sales_Table[[#This Row],[CustomerID]],Customer_Table[CustomerID],Customer_Table[CustomerName],"NULL",0)</f>
        <v>Customer_30</v>
      </c>
      <c r="M145" t="str">
        <f>INDEX(Customer_Table[Country],MATCH(Sales_Table[[#This Row],[CustomerID]],Customer_Table[CustomerID],0))</f>
        <v>United States</v>
      </c>
      <c r="N145" t="str">
        <f>INDEX(Customer_Table[Email],MATCH(Sales_Table[[#This Row],[CustomerID]],Customer_Table[CustomerID],0))</f>
        <v>customer30@email.com</v>
      </c>
    </row>
    <row r="146" spans="1:14" x14ac:dyDescent="0.3">
      <c r="A146" t="s">
        <v>279</v>
      </c>
      <c r="B146" s="1">
        <v>45430</v>
      </c>
      <c r="C146" s="1" t="str">
        <f>TEXT(Sales_Table[[#This Row],[OrderDate]],"DDDD")</f>
        <v>Saturday</v>
      </c>
      <c r="D146" s="1" t="str">
        <f>TEXT(Sales_Table[[#This Row],[OrderDate]],"MMMM")</f>
        <v>May</v>
      </c>
      <c r="E146" t="s">
        <v>251</v>
      </c>
      <c r="F146" t="s">
        <v>154</v>
      </c>
      <c r="G146">
        <v>3</v>
      </c>
      <c r="H146">
        <v>998.7</v>
      </c>
      <c r="I146" t="str">
        <f>VLOOKUP(Sales_Table[[#This Row],[ProductID]],Product_Table[],2,FALSE)</f>
        <v>Product_8</v>
      </c>
      <c r="J146" t="str">
        <f>VLOOKUP(Sales_Table[[#This Row],[ProductID]],Product_Table[],3,FALSE)</f>
        <v>Electronics</v>
      </c>
      <c r="K146">
        <f>_xlfn.XLOOKUP(Sales_Table[[#This Row],[ProductID]],Product_Table[ProductID],Product_Table[UnitPrice],"NULL",0)</f>
        <v>332.9</v>
      </c>
      <c r="L146" t="str">
        <f>_xlfn.XLOOKUP(Sales_Table[[#This Row],[CustomerID]],Customer_Table[CustomerID],Customer_Table[CustomerName],"NULL",0)</f>
        <v>Customer_29</v>
      </c>
      <c r="M146" t="str">
        <f>INDEX(Customer_Table[Country],MATCH(Sales_Table[[#This Row],[CustomerID]],Customer_Table[CustomerID],0))</f>
        <v>India</v>
      </c>
      <c r="N146" t="str">
        <f>INDEX(Customer_Table[Email],MATCH(Sales_Table[[#This Row],[CustomerID]],Customer_Table[CustomerID],0))</f>
        <v>customer29@email.com</v>
      </c>
    </row>
    <row r="147" spans="1:14" x14ac:dyDescent="0.3">
      <c r="A147" t="s">
        <v>280</v>
      </c>
      <c r="B147" s="1">
        <v>45327</v>
      </c>
      <c r="C147" s="1" t="str">
        <f>TEXT(Sales_Table[[#This Row],[OrderDate]],"DDDD")</f>
        <v>Monday</v>
      </c>
      <c r="D147" s="1" t="str">
        <f>TEXT(Sales_Table[[#This Row],[OrderDate]],"MMMM")</f>
        <v>February</v>
      </c>
      <c r="E147" t="s">
        <v>272</v>
      </c>
      <c r="F147" t="s">
        <v>204</v>
      </c>
      <c r="G147">
        <v>1</v>
      </c>
      <c r="H147">
        <v>245.87</v>
      </c>
      <c r="I147" t="str">
        <f>VLOOKUP(Sales_Table[[#This Row],[ProductID]],Product_Table[],2,FALSE)</f>
        <v>Product_23</v>
      </c>
      <c r="J147" t="str">
        <f>VLOOKUP(Sales_Table[[#This Row],[ProductID]],Product_Table[],3,FALSE)</f>
        <v>Beauty</v>
      </c>
      <c r="K147">
        <f>_xlfn.XLOOKUP(Sales_Table[[#This Row],[ProductID]],Product_Table[ProductID],Product_Table[UnitPrice],"NULL",0)</f>
        <v>245.87</v>
      </c>
      <c r="L147" t="str">
        <f>_xlfn.XLOOKUP(Sales_Table[[#This Row],[CustomerID]],Customer_Table[CustomerID],Customer_Table[CustomerName],"NULL",0)</f>
        <v>Customer_67</v>
      </c>
      <c r="M147" t="str">
        <f>INDEX(Customer_Table[Country],MATCH(Sales_Table[[#This Row],[CustomerID]],Customer_Table[CustomerID],0))</f>
        <v>Canada</v>
      </c>
      <c r="N147" t="str">
        <f>INDEX(Customer_Table[Email],MATCH(Sales_Table[[#This Row],[CustomerID]],Customer_Table[CustomerID],0))</f>
        <v>customer67@email.com</v>
      </c>
    </row>
    <row r="148" spans="1:14" x14ac:dyDescent="0.3">
      <c r="A148" t="s">
        <v>281</v>
      </c>
      <c r="B148" s="1">
        <v>45351</v>
      </c>
      <c r="C148" s="1" t="str">
        <f>TEXT(Sales_Table[[#This Row],[OrderDate]],"DDDD")</f>
        <v>Thursday</v>
      </c>
      <c r="D148" s="1" t="str">
        <f>TEXT(Sales_Table[[#This Row],[OrderDate]],"MMMM")</f>
        <v>February</v>
      </c>
      <c r="E148" t="s">
        <v>151</v>
      </c>
      <c r="F148" t="s">
        <v>239</v>
      </c>
      <c r="G148">
        <v>2</v>
      </c>
      <c r="H148">
        <v>487.26</v>
      </c>
      <c r="I148" t="str">
        <f>VLOOKUP(Sales_Table[[#This Row],[ProductID]],Product_Table[],2,FALSE)</f>
        <v>Product_34</v>
      </c>
      <c r="J148" t="str">
        <f>VLOOKUP(Sales_Table[[#This Row],[ProductID]],Product_Table[],3,FALSE)</f>
        <v>Sports</v>
      </c>
      <c r="K148">
        <f>_xlfn.XLOOKUP(Sales_Table[[#This Row],[ProductID]],Product_Table[ProductID],Product_Table[UnitPrice],"NULL",0)</f>
        <v>243.63</v>
      </c>
      <c r="L148" t="str">
        <f>_xlfn.XLOOKUP(Sales_Table[[#This Row],[CustomerID]],Customer_Table[CustomerID],Customer_Table[CustomerName],"NULL",0)</f>
        <v>Customer_75</v>
      </c>
      <c r="M148" t="str">
        <f>INDEX(Customer_Table[Country],MATCH(Sales_Table[[#This Row],[CustomerID]],Customer_Table[CustomerID],0))</f>
        <v>Canada</v>
      </c>
      <c r="N148" t="str">
        <f>INDEX(Customer_Table[Email],MATCH(Sales_Table[[#This Row],[CustomerID]],Customer_Table[CustomerID],0))</f>
        <v>customer75@email.com</v>
      </c>
    </row>
    <row r="149" spans="1:14" x14ac:dyDescent="0.3">
      <c r="A149" t="s">
        <v>282</v>
      </c>
      <c r="B149" s="1">
        <v>45469</v>
      </c>
      <c r="C149" s="1" t="str">
        <f>TEXT(Sales_Table[[#This Row],[OrderDate]],"DDDD")</f>
        <v>Wednesday</v>
      </c>
      <c r="D149" s="1" t="str">
        <f>TEXT(Sales_Table[[#This Row],[OrderDate]],"MMMM")</f>
        <v>June</v>
      </c>
      <c r="E149" t="s">
        <v>230</v>
      </c>
      <c r="F149" t="s">
        <v>140</v>
      </c>
      <c r="G149">
        <v>4</v>
      </c>
      <c r="H149">
        <v>1351.2</v>
      </c>
      <c r="I149" t="str">
        <f>VLOOKUP(Sales_Table[[#This Row],[ProductID]],Product_Table[],2,FALSE)</f>
        <v>Product_3</v>
      </c>
      <c r="J149" t="str">
        <f>VLOOKUP(Sales_Table[[#This Row],[ProductID]],Product_Table[],3,FALSE)</f>
        <v>Home</v>
      </c>
      <c r="K149">
        <f>_xlfn.XLOOKUP(Sales_Table[[#This Row],[ProductID]],Product_Table[ProductID],Product_Table[UnitPrice],"NULL",0)</f>
        <v>337.8</v>
      </c>
      <c r="L149" t="str">
        <f>_xlfn.XLOOKUP(Sales_Table[[#This Row],[CustomerID]],Customer_Table[CustomerID],Customer_Table[CustomerName],"NULL",0)</f>
        <v>Customer_106</v>
      </c>
      <c r="M149" t="str">
        <f>INDEX(Customer_Table[Country],MATCH(Sales_Table[[#This Row],[CustomerID]],Customer_Table[CustomerID],0))</f>
        <v>India</v>
      </c>
      <c r="N149" t="str">
        <f>INDEX(Customer_Table[Email],MATCH(Sales_Table[[#This Row],[CustomerID]],Customer_Table[CustomerID],0))</f>
        <v>customer106@email.com</v>
      </c>
    </row>
    <row r="150" spans="1:14" x14ac:dyDescent="0.3">
      <c r="A150" t="s">
        <v>283</v>
      </c>
      <c r="B150" s="1">
        <v>45472</v>
      </c>
      <c r="C150" s="1" t="str">
        <f>TEXT(Sales_Table[[#This Row],[OrderDate]],"DDDD")</f>
        <v>Saturday</v>
      </c>
      <c r="D150" s="1" t="str">
        <f>TEXT(Sales_Table[[#This Row],[OrderDate]],"MMMM")</f>
        <v>June</v>
      </c>
      <c r="E150" t="s">
        <v>82</v>
      </c>
      <c r="F150" t="s">
        <v>140</v>
      </c>
      <c r="G150">
        <v>2</v>
      </c>
      <c r="H150">
        <v>675.6</v>
      </c>
      <c r="I150" t="str">
        <f>VLOOKUP(Sales_Table[[#This Row],[ProductID]],Product_Table[],2,FALSE)</f>
        <v>Product_3</v>
      </c>
      <c r="J150" t="str">
        <f>VLOOKUP(Sales_Table[[#This Row],[ProductID]],Product_Table[],3,FALSE)</f>
        <v>Home</v>
      </c>
      <c r="K150">
        <f>_xlfn.XLOOKUP(Sales_Table[[#This Row],[ProductID]],Product_Table[ProductID],Product_Table[UnitPrice],"NULL",0)</f>
        <v>337.8</v>
      </c>
      <c r="L150" t="str">
        <f>_xlfn.XLOOKUP(Sales_Table[[#This Row],[CustomerID]],Customer_Table[CustomerID],Customer_Table[CustomerName],"NULL",0)</f>
        <v>Customer_1</v>
      </c>
      <c r="M150" t="str">
        <f>INDEX(Customer_Table[Country],MATCH(Sales_Table[[#This Row],[CustomerID]],Customer_Table[CustomerID],0))</f>
        <v>India</v>
      </c>
      <c r="N150" t="str">
        <f>INDEX(Customer_Table[Email],MATCH(Sales_Table[[#This Row],[CustomerID]],Customer_Table[CustomerID],0))</f>
        <v>customer1@email.com</v>
      </c>
    </row>
    <row r="151" spans="1:14" x14ac:dyDescent="0.3">
      <c r="A151" t="s">
        <v>284</v>
      </c>
      <c r="B151" s="1">
        <v>45308</v>
      </c>
      <c r="C151" s="1" t="str">
        <f>TEXT(Sales_Table[[#This Row],[OrderDate]],"DDDD")</f>
        <v>Wednesday</v>
      </c>
      <c r="D151" s="1" t="str">
        <f>TEXT(Sales_Table[[#This Row],[OrderDate]],"MMMM")</f>
        <v>January</v>
      </c>
      <c r="E151" t="s">
        <v>124</v>
      </c>
      <c r="F151" t="s">
        <v>25</v>
      </c>
      <c r="G151">
        <v>2</v>
      </c>
      <c r="H151">
        <v>788.92</v>
      </c>
      <c r="I151" t="str">
        <f>VLOOKUP(Sales_Table[[#This Row],[ProductID]],Product_Table[],2,FALSE)</f>
        <v>Product_6</v>
      </c>
      <c r="J151" t="str">
        <f>VLOOKUP(Sales_Table[[#This Row],[ProductID]],Product_Table[],3,FALSE)</f>
        <v>Clothing</v>
      </c>
      <c r="K151">
        <f>_xlfn.XLOOKUP(Sales_Table[[#This Row],[ProductID]],Product_Table[ProductID],Product_Table[UnitPrice],"NULL",0)</f>
        <v>394.46</v>
      </c>
      <c r="L151" t="str">
        <f>_xlfn.XLOOKUP(Sales_Table[[#This Row],[CustomerID]],Customer_Table[CustomerID],Customer_Table[CustomerName],"NULL",0)</f>
        <v>Customer_116</v>
      </c>
      <c r="M151" t="str">
        <f>INDEX(Customer_Table[Country],MATCH(Sales_Table[[#This Row],[CustomerID]],Customer_Table[CustomerID],0))</f>
        <v>United Kingdom</v>
      </c>
      <c r="N151" t="str">
        <f>INDEX(Customer_Table[Email],MATCH(Sales_Table[[#This Row],[CustomerID]],Customer_Table[CustomerID],0))</f>
        <v>customer116@email.com</v>
      </c>
    </row>
    <row r="152" spans="1:14" x14ac:dyDescent="0.3">
      <c r="A152" t="s">
        <v>285</v>
      </c>
      <c r="B152" s="1">
        <v>45396</v>
      </c>
      <c r="C152" s="1" t="str">
        <f>TEXT(Sales_Table[[#This Row],[OrderDate]],"DDDD")</f>
        <v>Sunday</v>
      </c>
      <c r="D152" s="1" t="str">
        <f>TEXT(Sales_Table[[#This Row],[OrderDate]],"MMMM")</f>
        <v>April</v>
      </c>
      <c r="E152" t="s">
        <v>286</v>
      </c>
      <c r="F152" t="s">
        <v>89</v>
      </c>
      <c r="G152">
        <v>4</v>
      </c>
      <c r="H152">
        <v>1733.12</v>
      </c>
      <c r="I152" t="str">
        <f>VLOOKUP(Sales_Table[[#This Row],[ProductID]],Product_Table[],2,FALSE)</f>
        <v>Product_10</v>
      </c>
      <c r="J152" t="str">
        <f>VLOOKUP(Sales_Table[[#This Row],[ProductID]],Product_Table[],3,FALSE)</f>
        <v>Beauty</v>
      </c>
      <c r="K152">
        <f>_xlfn.XLOOKUP(Sales_Table[[#This Row],[ProductID]],Product_Table[ProductID],Product_Table[UnitPrice],"NULL",0)</f>
        <v>433.28</v>
      </c>
      <c r="L152" t="str">
        <f>_xlfn.XLOOKUP(Sales_Table[[#This Row],[CustomerID]],Customer_Table[CustomerID],Customer_Table[CustomerName],"NULL",0)</f>
        <v>Customer_76</v>
      </c>
      <c r="M152" t="str">
        <f>INDEX(Customer_Table[Country],MATCH(Sales_Table[[#This Row],[CustomerID]],Customer_Table[CustomerID],0))</f>
        <v>Canada</v>
      </c>
      <c r="N152" t="str">
        <f>INDEX(Customer_Table[Email],MATCH(Sales_Table[[#This Row],[CustomerID]],Customer_Table[CustomerID],0))</f>
        <v>customer76@email.com</v>
      </c>
    </row>
    <row r="153" spans="1:14" x14ac:dyDescent="0.3">
      <c r="A153" t="s">
        <v>287</v>
      </c>
      <c r="B153" s="1">
        <v>45430</v>
      </c>
      <c r="C153" s="1" t="str">
        <f>TEXT(Sales_Table[[#This Row],[OrderDate]],"DDDD")</f>
        <v>Saturday</v>
      </c>
      <c r="D153" s="1" t="str">
        <f>TEXT(Sales_Table[[#This Row],[OrderDate]],"MMMM")</f>
        <v>May</v>
      </c>
      <c r="E153" t="s">
        <v>288</v>
      </c>
      <c r="F153" t="s">
        <v>111</v>
      </c>
      <c r="G153">
        <v>3</v>
      </c>
      <c r="H153">
        <v>419.85</v>
      </c>
      <c r="I153" t="str">
        <f>VLOOKUP(Sales_Table[[#This Row],[ProductID]],Product_Table[],2,FALSE)</f>
        <v>Product_26</v>
      </c>
      <c r="J153" t="str">
        <f>VLOOKUP(Sales_Table[[#This Row],[ProductID]],Product_Table[],3,FALSE)</f>
        <v>Beauty</v>
      </c>
      <c r="K153">
        <f>_xlfn.XLOOKUP(Sales_Table[[#This Row],[ProductID]],Product_Table[ProductID],Product_Table[UnitPrice],"NULL",0)</f>
        <v>139.94999999999999</v>
      </c>
      <c r="L153" t="str">
        <f>_xlfn.XLOOKUP(Sales_Table[[#This Row],[CustomerID]],Customer_Table[CustomerID],Customer_Table[CustomerName],"NULL",0)</f>
        <v>Customer_11</v>
      </c>
      <c r="M153" t="str">
        <f>INDEX(Customer_Table[Country],MATCH(Sales_Table[[#This Row],[CustomerID]],Customer_Table[CustomerID],0))</f>
        <v>United Kingdom</v>
      </c>
      <c r="N153" t="str">
        <f>INDEX(Customer_Table[Email],MATCH(Sales_Table[[#This Row],[CustomerID]],Customer_Table[CustomerID],0))</f>
        <v>customer11@email.com</v>
      </c>
    </row>
    <row r="154" spans="1:14" x14ac:dyDescent="0.3">
      <c r="A154" t="s">
        <v>289</v>
      </c>
      <c r="B154" s="1">
        <v>45398</v>
      </c>
      <c r="C154" s="1" t="str">
        <f>TEXT(Sales_Table[[#This Row],[OrderDate]],"DDDD")</f>
        <v>Tuesday</v>
      </c>
      <c r="D154" s="1" t="str">
        <f>TEXT(Sales_Table[[#This Row],[OrderDate]],"MMMM")</f>
        <v>April</v>
      </c>
      <c r="E154" t="s">
        <v>38</v>
      </c>
      <c r="F154" t="s">
        <v>116</v>
      </c>
      <c r="G154">
        <v>4</v>
      </c>
      <c r="H154">
        <v>197</v>
      </c>
      <c r="I154" t="str">
        <f>VLOOKUP(Sales_Table[[#This Row],[ProductID]],Product_Table[],2,FALSE)</f>
        <v>Product_36</v>
      </c>
      <c r="J154" t="str">
        <f>VLOOKUP(Sales_Table[[#This Row],[ProductID]],Product_Table[],3,FALSE)</f>
        <v>Sports</v>
      </c>
      <c r="K154">
        <f>_xlfn.XLOOKUP(Sales_Table[[#This Row],[ProductID]],Product_Table[ProductID],Product_Table[UnitPrice],"NULL",0)</f>
        <v>49.25</v>
      </c>
      <c r="L154" t="str">
        <f>_xlfn.XLOOKUP(Sales_Table[[#This Row],[CustomerID]],Customer_Table[CustomerID],Customer_Table[CustomerName],"NULL",0)</f>
        <v>Customer_6</v>
      </c>
      <c r="M154" t="str">
        <f>INDEX(Customer_Table[Country],MATCH(Sales_Table[[#This Row],[CustomerID]],Customer_Table[CustomerID],0))</f>
        <v>United Kingdom</v>
      </c>
      <c r="N154" t="str">
        <f>INDEX(Customer_Table[Email],MATCH(Sales_Table[[#This Row],[CustomerID]],Customer_Table[CustomerID],0))</f>
        <v>customer6@email.com</v>
      </c>
    </row>
    <row r="155" spans="1:14" x14ac:dyDescent="0.3">
      <c r="A155" t="s">
        <v>290</v>
      </c>
      <c r="B155" s="1">
        <v>45344</v>
      </c>
      <c r="C155" s="1" t="str">
        <f>TEXT(Sales_Table[[#This Row],[OrderDate]],"DDDD")</f>
        <v>Thursday</v>
      </c>
      <c r="D155" s="1" t="str">
        <f>TEXT(Sales_Table[[#This Row],[OrderDate]],"MMMM")</f>
        <v>February</v>
      </c>
      <c r="E155" t="s">
        <v>291</v>
      </c>
      <c r="F155" t="s">
        <v>63</v>
      </c>
      <c r="G155">
        <v>1</v>
      </c>
      <c r="H155">
        <v>130.65</v>
      </c>
      <c r="I155" t="str">
        <f>VLOOKUP(Sales_Table[[#This Row],[ProductID]],Product_Table[],2,FALSE)</f>
        <v>Product_40</v>
      </c>
      <c r="J155" t="str">
        <f>VLOOKUP(Sales_Table[[#This Row],[ProductID]],Product_Table[],3,FALSE)</f>
        <v>Sports</v>
      </c>
      <c r="K155">
        <f>_xlfn.XLOOKUP(Sales_Table[[#This Row],[ProductID]],Product_Table[ProductID],Product_Table[UnitPrice],"NULL",0)</f>
        <v>130.65</v>
      </c>
      <c r="L155" t="str">
        <f>_xlfn.XLOOKUP(Sales_Table[[#This Row],[CustomerID]],Customer_Table[CustomerID],Customer_Table[CustomerName],"NULL",0)</f>
        <v>Customer_19</v>
      </c>
      <c r="M155" t="str">
        <f>INDEX(Customer_Table[Country],MATCH(Sales_Table[[#This Row],[CustomerID]],Customer_Table[CustomerID],0))</f>
        <v>United States</v>
      </c>
      <c r="N155" t="str">
        <f>INDEX(Customer_Table[Email],MATCH(Sales_Table[[#This Row],[CustomerID]],Customer_Table[CustomerID],0))</f>
        <v>customer19@email.com</v>
      </c>
    </row>
    <row r="156" spans="1:14" x14ac:dyDescent="0.3">
      <c r="A156" t="s">
        <v>292</v>
      </c>
      <c r="B156" s="1">
        <v>45391</v>
      </c>
      <c r="C156" s="1" t="str">
        <f>TEXT(Sales_Table[[#This Row],[OrderDate]],"DDDD")</f>
        <v>Tuesday</v>
      </c>
      <c r="D156" s="1" t="str">
        <f>TEXT(Sales_Table[[#This Row],[OrderDate]],"MMMM")</f>
        <v>April</v>
      </c>
      <c r="E156" t="s">
        <v>105</v>
      </c>
      <c r="F156" t="s">
        <v>34</v>
      </c>
      <c r="G156">
        <v>4</v>
      </c>
      <c r="H156">
        <v>599.08000000000004</v>
      </c>
      <c r="I156" t="str">
        <f>VLOOKUP(Sales_Table[[#This Row],[ProductID]],Product_Table[],2,FALSE)</f>
        <v>Product_27</v>
      </c>
      <c r="J156" t="str">
        <f>VLOOKUP(Sales_Table[[#This Row],[ProductID]],Product_Table[],3,FALSE)</f>
        <v>Beauty</v>
      </c>
      <c r="K156">
        <f>_xlfn.XLOOKUP(Sales_Table[[#This Row],[ProductID]],Product_Table[ProductID],Product_Table[UnitPrice],"NULL",0)</f>
        <v>149.77000000000001</v>
      </c>
      <c r="L156" t="str">
        <f>_xlfn.XLOOKUP(Sales_Table[[#This Row],[CustomerID]],Customer_Table[CustomerID],Customer_Table[CustomerName],"NULL",0)</f>
        <v>Customer_14</v>
      </c>
      <c r="M156" t="str">
        <f>INDEX(Customer_Table[Country],MATCH(Sales_Table[[#This Row],[CustomerID]],Customer_Table[CustomerID],0))</f>
        <v>United States</v>
      </c>
      <c r="N156" t="str">
        <f>INDEX(Customer_Table[Email],MATCH(Sales_Table[[#This Row],[CustomerID]],Customer_Table[CustomerID],0))</f>
        <v>customer14@email.com</v>
      </c>
    </row>
    <row r="157" spans="1:14" x14ac:dyDescent="0.3">
      <c r="A157" t="s">
        <v>293</v>
      </c>
      <c r="B157" s="1">
        <v>45470</v>
      </c>
      <c r="C157" s="1" t="str">
        <f>TEXT(Sales_Table[[#This Row],[OrderDate]],"DDDD")</f>
        <v>Thursday</v>
      </c>
      <c r="D157" s="1" t="str">
        <f>TEXT(Sales_Table[[#This Row],[OrderDate]],"MMMM")</f>
        <v>June</v>
      </c>
      <c r="E157" t="s">
        <v>210</v>
      </c>
      <c r="F157" t="s">
        <v>173</v>
      </c>
      <c r="G157">
        <v>5</v>
      </c>
      <c r="H157">
        <v>1309.7</v>
      </c>
      <c r="I157" t="str">
        <f>VLOOKUP(Sales_Table[[#This Row],[ProductID]],Product_Table[],2,FALSE)</f>
        <v>Product_2</v>
      </c>
      <c r="J157" t="str">
        <f>VLOOKUP(Sales_Table[[#This Row],[ProductID]],Product_Table[],3,FALSE)</f>
        <v>Electronics</v>
      </c>
      <c r="K157">
        <f>_xlfn.XLOOKUP(Sales_Table[[#This Row],[ProductID]],Product_Table[ProductID],Product_Table[UnitPrice],"NULL",0)</f>
        <v>261.94</v>
      </c>
      <c r="L157" t="str">
        <f>_xlfn.XLOOKUP(Sales_Table[[#This Row],[CustomerID]],Customer_Table[CustomerID],Customer_Table[CustomerName],"NULL",0)</f>
        <v>Customer_48</v>
      </c>
      <c r="M157" t="str">
        <f>INDEX(Customer_Table[Country],MATCH(Sales_Table[[#This Row],[CustomerID]],Customer_Table[CustomerID],0))</f>
        <v>India</v>
      </c>
      <c r="N157" t="str">
        <f>INDEX(Customer_Table[Email],MATCH(Sales_Table[[#This Row],[CustomerID]],Customer_Table[CustomerID],0))</f>
        <v>customer48@email.com</v>
      </c>
    </row>
    <row r="158" spans="1:14" x14ac:dyDescent="0.3">
      <c r="A158" t="s">
        <v>294</v>
      </c>
      <c r="B158" s="1">
        <v>45439</v>
      </c>
      <c r="C158" s="1" t="str">
        <f>TEXT(Sales_Table[[#This Row],[OrderDate]],"DDDD")</f>
        <v>Monday</v>
      </c>
      <c r="D158" s="1" t="str">
        <f>TEXT(Sales_Table[[#This Row],[OrderDate]],"MMMM")</f>
        <v>May</v>
      </c>
      <c r="E158" t="s">
        <v>38</v>
      </c>
      <c r="F158" t="s">
        <v>71</v>
      </c>
      <c r="G158">
        <v>1</v>
      </c>
      <c r="H158">
        <v>57.98</v>
      </c>
      <c r="I158" t="str">
        <f>VLOOKUP(Sales_Table[[#This Row],[ProductID]],Product_Table[],2,FALSE)</f>
        <v>Product_19</v>
      </c>
      <c r="J158" t="str">
        <f>VLOOKUP(Sales_Table[[#This Row],[ProductID]],Product_Table[],3,FALSE)</f>
        <v>Sports</v>
      </c>
      <c r="K158">
        <f>_xlfn.XLOOKUP(Sales_Table[[#This Row],[ProductID]],Product_Table[ProductID],Product_Table[UnitPrice],"NULL",0)</f>
        <v>57.98</v>
      </c>
      <c r="L158" t="str">
        <f>_xlfn.XLOOKUP(Sales_Table[[#This Row],[CustomerID]],Customer_Table[CustomerID],Customer_Table[CustomerName],"NULL",0)</f>
        <v>Customer_6</v>
      </c>
      <c r="M158" t="str">
        <f>INDEX(Customer_Table[Country],MATCH(Sales_Table[[#This Row],[CustomerID]],Customer_Table[CustomerID],0))</f>
        <v>United Kingdom</v>
      </c>
      <c r="N158" t="str">
        <f>INDEX(Customer_Table[Email],MATCH(Sales_Table[[#This Row],[CustomerID]],Customer_Table[CustomerID],0))</f>
        <v>customer6@email.com</v>
      </c>
    </row>
    <row r="159" spans="1:14" x14ac:dyDescent="0.3">
      <c r="A159" t="s">
        <v>295</v>
      </c>
      <c r="B159" s="1">
        <v>45414</v>
      </c>
      <c r="C159" s="1" t="str">
        <f>TEXT(Sales_Table[[#This Row],[OrderDate]],"DDDD")</f>
        <v>Thursday</v>
      </c>
      <c r="D159" s="1" t="str">
        <f>TEXT(Sales_Table[[#This Row],[OrderDate]],"MMMM")</f>
        <v>May</v>
      </c>
      <c r="E159" t="s">
        <v>139</v>
      </c>
      <c r="F159" t="s">
        <v>49</v>
      </c>
      <c r="G159">
        <v>4</v>
      </c>
      <c r="H159">
        <v>152.04</v>
      </c>
      <c r="I159" t="str">
        <f>VLOOKUP(Sales_Table[[#This Row],[ProductID]],Product_Table[],2,FALSE)</f>
        <v>Product_33</v>
      </c>
      <c r="J159" t="str">
        <f>VLOOKUP(Sales_Table[[#This Row],[ProductID]],Product_Table[],3,FALSE)</f>
        <v>Home</v>
      </c>
      <c r="K159">
        <f>_xlfn.XLOOKUP(Sales_Table[[#This Row],[ProductID]],Product_Table[ProductID],Product_Table[UnitPrice],"NULL",0)</f>
        <v>38.01</v>
      </c>
      <c r="L159" t="str">
        <f>_xlfn.XLOOKUP(Sales_Table[[#This Row],[CustomerID]],Customer_Table[CustomerID],Customer_Table[CustomerName],"NULL",0)</f>
        <v>Customer_84</v>
      </c>
      <c r="M159" t="str">
        <f>INDEX(Customer_Table[Country],MATCH(Sales_Table[[#This Row],[CustomerID]],Customer_Table[CustomerID],0))</f>
        <v>Canada</v>
      </c>
      <c r="N159" t="str">
        <f>INDEX(Customer_Table[Email],MATCH(Sales_Table[[#This Row],[CustomerID]],Customer_Table[CustomerID],0))</f>
        <v>customer84@email.com</v>
      </c>
    </row>
    <row r="160" spans="1:14" x14ac:dyDescent="0.3">
      <c r="A160" t="s">
        <v>296</v>
      </c>
      <c r="B160" s="1">
        <v>45382</v>
      </c>
      <c r="C160" s="1" t="str">
        <f>TEXT(Sales_Table[[#This Row],[OrderDate]],"DDDD")</f>
        <v>Sunday</v>
      </c>
      <c r="D160" s="1" t="str">
        <f>TEXT(Sales_Table[[#This Row],[OrderDate]],"MMMM")</f>
        <v>March</v>
      </c>
      <c r="E160" t="s">
        <v>297</v>
      </c>
      <c r="F160" t="s">
        <v>173</v>
      </c>
      <c r="G160">
        <v>1</v>
      </c>
      <c r="H160">
        <v>261.94</v>
      </c>
      <c r="I160" t="str">
        <f>VLOOKUP(Sales_Table[[#This Row],[ProductID]],Product_Table[],2,FALSE)</f>
        <v>Product_2</v>
      </c>
      <c r="J160" t="str">
        <f>VLOOKUP(Sales_Table[[#This Row],[ProductID]],Product_Table[],3,FALSE)</f>
        <v>Electronics</v>
      </c>
      <c r="K160">
        <f>_xlfn.XLOOKUP(Sales_Table[[#This Row],[ProductID]],Product_Table[ProductID],Product_Table[UnitPrice],"NULL",0)</f>
        <v>261.94</v>
      </c>
      <c r="L160" t="str">
        <f>_xlfn.XLOOKUP(Sales_Table[[#This Row],[CustomerID]],Customer_Table[CustomerID],Customer_Table[CustomerName],"NULL",0)</f>
        <v>Customer_72</v>
      </c>
      <c r="M160" t="str">
        <f>INDEX(Customer_Table[Country],MATCH(Sales_Table[[#This Row],[CustomerID]],Customer_Table[CustomerID],0))</f>
        <v>Canada</v>
      </c>
      <c r="N160" t="str">
        <f>INDEX(Customer_Table[Email],MATCH(Sales_Table[[#This Row],[CustomerID]],Customer_Table[CustomerID],0))</f>
        <v>customer72@email.com</v>
      </c>
    </row>
    <row r="161" spans="1:14" x14ac:dyDescent="0.3">
      <c r="A161" t="s">
        <v>298</v>
      </c>
      <c r="B161" s="1">
        <v>45391</v>
      </c>
      <c r="C161" s="1" t="str">
        <f>TEXT(Sales_Table[[#This Row],[OrderDate]],"DDDD")</f>
        <v>Tuesday</v>
      </c>
      <c r="D161" s="1" t="str">
        <f>TEXT(Sales_Table[[#This Row],[OrderDate]],"MMMM")</f>
        <v>April</v>
      </c>
      <c r="E161" t="s">
        <v>246</v>
      </c>
      <c r="F161" t="s">
        <v>71</v>
      </c>
      <c r="G161">
        <v>3</v>
      </c>
      <c r="H161">
        <v>173.94</v>
      </c>
      <c r="I161" t="str">
        <f>VLOOKUP(Sales_Table[[#This Row],[ProductID]],Product_Table[],2,FALSE)</f>
        <v>Product_19</v>
      </c>
      <c r="J161" t="str">
        <f>VLOOKUP(Sales_Table[[#This Row],[ProductID]],Product_Table[],3,FALSE)</f>
        <v>Sports</v>
      </c>
      <c r="K161">
        <f>_xlfn.XLOOKUP(Sales_Table[[#This Row],[ProductID]],Product_Table[ProductID],Product_Table[UnitPrice],"NULL",0)</f>
        <v>57.98</v>
      </c>
      <c r="L161" t="str">
        <f>_xlfn.XLOOKUP(Sales_Table[[#This Row],[CustomerID]],Customer_Table[CustomerID],Customer_Table[CustomerName],"NULL",0)</f>
        <v>Customer_105</v>
      </c>
      <c r="M161" t="str">
        <f>INDEX(Customer_Table[Country],MATCH(Sales_Table[[#This Row],[CustomerID]],Customer_Table[CustomerID],0))</f>
        <v>United Kingdom</v>
      </c>
      <c r="N161" t="str">
        <f>INDEX(Customer_Table[Email],MATCH(Sales_Table[[#This Row],[CustomerID]],Customer_Table[CustomerID],0))</f>
        <v>customer105@email.com</v>
      </c>
    </row>
    <row r="162" spans="1:14" x14ac:dyDescent="0.3">
      <c r="A162" t="s">
        <v>299</v>
      </c>
      <c r="B162" s="1">
        <v>45429</v>
      </c>
      <c r="C162" s="1" t="str">
        <f>TEXT(Sales_Table[[#This Row],[OrderDate]],"DDDD")</f>
        <v>Friday</v>
      </c>
      <c r="D162" s="1" t="str">
        <f>TEXT(Sales_Table[[#This Row],[OrderDate]],"MMMM")</f>
        <v>May</v>
      </c>
      <c r="E162" t="s">
        <v>210</v>
      </c>
      <c r="F162" t="s">
        <v>130</v>
      </c>
      <c r="G162">
        <v>4</v>
      </c>
      <c r="H162">
        <v>348.56</v>
      </c>
      <c r="I162" t="str">
        <f>VLOOKUP(Sales_Table[[#This Row],[ProductID]],Product_Table[],2,FALSE)</f>
        <v>Product_35</v>
      </c>
      <c r="J162" t="str">
        <f>VLOOKUP(Sales_Table[[#This Row],[ProductID]],Product_Table[],3,FALSE)</f>
        <v>Sports</v>
      </c>
      <c r="K162">
        <f>_xlfn.XLOOKUP(Sales_Table[[#This Row],[ProductID]],Product_Table[ProductID],Product_Table[UnitPrice],"NULL",0)</f>
        <v>87.14</v>
      </c>
      <c r="L162" t="str">
        <f>_xlfn.XLOOKUP(Sales_Table[[#This Row],[CustomerID]],Customer_Table[CustomerID],Customer_Table[CustomerName],"NULL",0)</f>
        <v>Customer_48</v>
      </c>
      <c r="M162" t="str">
        <f>INDEX(Customer_Table[Country],MATCH(Sales_Table[[#This Row],[CustomerID]],Customer_Table[CustomerID],0))</f>
        <v>India</v>
      </c>
      <c r="N162" t="str">
        <f>INDEX(Customer_Table[Email],MATCH(Sales_Table[[#This Row],[CustomerID]],Customer_Table[CustomerID],0))</f>
        <v>customer48@email.com</v>
      </c>
    </row>
    <row r="163" spans="1:14" x14ac:dyDescent="0.3">
      <c r="A163" t="s">
        <v>300</v>
      </c>
      <c r="B163" s="1">
        <v>45446</v>
      </c>
      <c r="C163" s="1" t="str">
        <f>TEXT(Sales_Table[[#This Row],[OrderDate]],"DDDD")</f>
        <v>Monday</v>
      </c>
      <c r="D163" s="1" t="str">
        <f>TEXT(Sales_Table[[#This Row],[OrderDate]],"MMMM")</f>
        <v>June</v>
      </c>
      <c r="E163" t="s">
        <v>27</v>
      </c>
      <c r="F163" t="s">
        <v>76</v>
      </c>
      <c r="G163">
        <v>5</v>
      </c>
      <c r="H163">
        <v>2011.45</v>
      </c>
      <c r="I163" t="str">
        <f>VLOOKUP(Sales_Table[[#This Row],[ProductID]],Product_Table[],2,FALSE)</f>
        <v>Product_13</v>
      </c>
      <c r="J163" t="str">
        <f>VLOOKUP(Sales_Table[[#This Row],[ProductID]],Product_Table[],3,FALSE)</f>
        <v>Home</v>
      </c>
      <c r="K163">
        <f>_xlfn.XLOOKUP(Sales_Table[[#This Row],[ProductID]],Product_Table[ProductID],Product_Table[UnitPrice],"NULL",0)</f>
        <v>402.29</v>
      </c>
      <c r="L163" t="str">
        <f>_xlfn.XLOOKUP(Sales_Table[[#This Row],[CustomerID]],Customer_Table[CustomerID],Customer_Table[CustomerName],"NULL",0)</f>
        <v>Customer_18</v>
      </c>
      <c r="M163" t="str">
        <f>INDEX(Customer_Table[Country],MATCH(Sales_Table[[#This Row],[CustomerID]],Customer_Table[CustomerID],0))</f>
        <v>United States</v>
      </c>
      <c r="N163" t="str">
        <f>INDEX(Customer_Table[Email],MATCH(Sales_Table[[#This Row],[CustomerID]],Customer_Table[CustomerID],0))</f>
        <v>customer18@email.com</v>
      </c>
    </row>
    <row r="164" spans="1:14" x14ac:dyDescent="0.3">
      <c r="A164" t="s">
        <v>301</v>
      </c>
      <c r="B164" s="1">
        <v>45416</v>
      </c>
      <c r="C164" s="1" t="str">
        <f>TEXT(Sales_Table[[#This Row],[OrderDate]],"DDDD")</f>
        <v>Saturday</v>
      </c>
      <c r="D164" s="1" t="str">
        <f>TEXT(Sales_Table[[#This Row],[OrderDate]],"MMMM")</f>
        <v>May</v>
      </c>
      <c r="E164" t="s">
        <v>119</v>
      </c>
      <c r="F164" t="s">
        <v>137</v>
      </c>
      <c r="G164">
        <v>2</v>
      </c>
      <c r="H164">
        <v>233.34</v>
      </c>
      <c r="I164" t="str">
        <f>VLOOKUP(Sales_Table[[#This Row],[ProductID]],Product_Table[],2,FALSE)</f>
        <v>Product_30</v>
      </c>
      <c r="J164" t="str">
        <f>VLOOKUP(Sales_Table[[#This Row],[ProductID]],Product_Table[],3,FALSE)</f>
        <v>Home</v>
      </c>
      <c r="K164">
        <f>_xlfn.XLOOKUP(Sales_Table[[#This Row],[ProductID]],Product_Table[ProductID],Product_Table[UnitPrice],"NULL",0)</f>
        <v>116.67</v>
      </c>
      <c r="L164" t="str">
        <f>_xlfn.XLOOKUP(Sales_Table[[#This Row],[CustomerID]],Customer_Table[CustomerID],Customer_Table[CustomerName],"NULL",0)</f>
        <v>Customer_59</v>
      </c>
      <c r="M164" t="str">
        <f>INDEX(Customer_Table[Country],MATCH(Sales_Table[[#This Row],[CustomerID]],Customer_Table[CustomerID],0))</f>
        <v>United Kingdom</v>
      </c>
      <c r="N164" t="str">
        <f>INDEX(Customer_Table[Email],MATCH(Sales_Table[[#This Row],[CustomerID]],Customer_Table[CustomerID],0))</f>
        <v>customer59@email.com</v>
      </c>
    </row>
    <row r="165" spans="1:14" x14ac:dyDescent="0.3">
      <c r="A165" t="s">
        <v>302</v>
      </c>
      <c r="B165" s="1">
        <v>45361</v>
      </c>
      <c r="C165" s="1" t="str">
        <f>TEXT(Sales_Table[[#This Row],[OrderDate]],"DDDD")</f>
        <v>Sunday</v>
      </c>
      <c r="D165" s="1" t="str">
        <f>TEXT(Sales_Table[[#This Row],[OrderDate]],"MMMM")</f>
        <v>March</v>
      </c>
      <c r="E165" t="s">
        <v>303</v>
      </c>
      <c r="F165" t="s">
        <v>60</v>
      </c>
      <c r="G165">
        <v>2</v>
      </c>
      <c r="H165">
        <v>171.7</v>
      </c>
      <c r="I165" t="str">
        <f>VLOOKUP(Sales_Table[[#This Row],[ProductID]],Product_Table[],2,FALSE)</f>
        <v>Product_29</v>
      </c>
      <c r="J165" t="str">
        <f>VLOOKUP(Sales_Table[[#This Row],[ProductID]],Product_Table[],3,FALSE)</f>
        <v>Beauty</v>
      </c>
      <c r="K165">
        <f>_xlfn.XLOOKUP(Sales_Table[[#This Row],[ProductID]],Product_Table[ProductID],Product_Table[UnitPrice],"NULL",0)</f>
        <v>85.85</v>
      </c>
      <c r="L165" t="str">
        <f>_xlfn.XLOOKUP(Sales_Table[[#This Row],[CustomerID]],Customer_Table[CustomerID],Customer_Table[CustomerName],"NULL",0)</f>
        <v>Customer_16</v>
      </c>
      <c r="M165" t="str">
        <f>INDEX(Customer_Table[Country],MATCH(Sales_Table[[#This Row],[CustomerID]],Customer_Table[CustomerID],0))</f>
        <v>United States</v>
      </c>
      <c r="N165" t="str">
        <f>INDEX(Customer_Table[Email],MATCH(Sales_Table[[#This Row],[CustomerID]],Customer_Table[CustomerID],0))</f>
        <v>customer16@email.com</v>
      </c>
    </row>
    <row r="166" spans="1:14" x14ac:dyDescent="0.3">
      <c r="A166" t="s">
        <v>304</v>
      </c>
      <c r="B166" s="1">
        <v>45416</v>
      </c>
      <c r="C166" s="1" t="str">
        <f>TEXT(Sales_Table[[#This Row],[OrderDate]],"DDDD")</f>
        <v>Saturday</v>
      </c>
      <c r="D166" s="1" t="str">
        <f>TEXT(Sales_Table[[#This Row],[OrderDate]],"MMMM")</f>
        <v>May</v>
      </c>
      <c r="E166" t="s">
        <v>305</v>
      </c>
      <c r="F166" t="s">
        <v>46</v>
      </c>
      <c r="G166">
        <v>4</v>
      </c>
      <c r="H166">
        <v>1337.28</v>
      </c>
      <c r="I166" t="str">
        <f>VLOOKUP(Sales_Table[[#This Row],[ProductID]],Product_Table[],2,FALSE)</f>
        <v>Product_28</v>
      </c>
      <c r="J166" t="str">
        <f>VLOOKUP(Sales_Table[[#This Row],[ProductID]],Product_Table[],3,FALSE)</f>
        <v>Sports</v>
      </c>
      <c r="K166">
        <f>_xlfn.XLOOKUP(Sales_Table[[#This Row],[ProductID]],Product_Table[ProductID],Product_Table[UnitPrice],"NULL",0)</f>
        <v>334.32</v>
      </c>
      <c r="L166" t="str">
        <f>_xlfn.XLOOKUP(Sales_Table[[#This Row],[CustomerID]],Customer_Table[CustomerID],Customer_Table[CustomerName],"NULL",0)</f>
        <v>Customer_112</v>
      </c>
      <c r="M166" t="str">
        <f>INDEX(Customer_Table[Country],MATCH(Sales_Table[[#This Row],[CustomerID]],Customer_Table[CustomerID],0))</f>
        <v>United Kingdom</v>
      </c>
      <c r="N166" t="str">
        <f>INDEX(Customer_Table[Email],MATCH(Sales_Table[[#This Row],[CustomerID]],Customer_Table[CustomerID],0))</f>
        <v>customer112@email.com</v>
      </c>
    </row>
    <row r="167" spans="1:14" x14ac:dyDescent="0.3">
      <c r="A167" t="s">
        <v>306</v>
      </c>
      <c r="B167" s="1">
        <v>45391</v>
      </c>
      <c r="C167" s="1" t="str">
        <f>TEXT(Sales_Table[[#This Row],[OrderDate]],"DDDD")</f>
        <v>Tuesday</v>
      </c>
      <c r="D167" s="1" t="str">
        <f>TEXT(Sales_Table[[#This Row],[OrderDate]],"MMMM")</f>
        <v>April</v>
      </c>
      <c r="E167" t="s">
        <v>307</v>
      </c>
      <c r="F167" t="s">
        <v>52</v>
      </c>
      <c r="G167">
        <v>1</v>
      </c>
      <c r="H167">
        <v>272.77999999999997</v>
      </c>
      <c r="I167" t="str">
        <f>VLOOKUP(Sales_Table[[#This Row],[ProductID]],Product_Table[],2,FALSE)</f>
        <v>Product_15</v>
      </c>
      <c r="J167" t="str">
        <f>VLOOKUP(Sales_Table[[#This Row],[ProductID]],Product_Table[],3,FALSE)</f>
        <v>Clothing</v>
      </c>
      <c r="K167">
        <f>_xlfn.XLOOKUP(Sales_Table[[#This Row],[ProductID]],Product_Table[ProductID],Product_Table[UnitPrice],"NULL",0)</f>
        <v>272.77999999999997</v>
      </c>
      <c r="L167" t="str">
        <f>_xlfn.XLOOKUP(Sales_Table[[#This Row],[CustomerID]],Customer_Table[CustomerID],Customer_Table[CustomerName],"NULL",0)</f>
        <v>Customer_120</v>
      </c>
      <c r="M167" t="str">
        <f>INDEX(Customer_Table[Country],MATCH(Sales_Table[[#This Row],[CustomerID]],Customer_Table[CustomerID],0))</f>
        <v>United Kingdom</v>
      </c>
      <c r="N167" t="str">
        <f>INDEX(Customer_Table[Email],MATCH(Sales_Table[[#This Row],[CustomerID]],Customer_Table[CustomerID],0))</f>
        <v>customer120@email.com</v>
      </c>
    </row>
    <row r="168" spans="1:14" x14ac:dyDescent="0.3">
      <c r="A168" t="s">
        <v>308</v>
      </c>
      <c r="B168" s="1">
        <v>45463</v>
      </c>
      <c r="C168" s="1" t="str">
        <f>TEXT(Sales_Table[[#This Row],[OrderDate]],"DDDD")</f>
        <v>Thursday</v>
      </c>
      <c r="D168" s="1" t="str">
        <f>TEXT(Sales_Table[[#This Row],[OrderDate]],"MMMM")</f>
        <v>June</v>
      </c>
      <c r="E168" t="s">
        <v>226</v>
      </c>
      <c r="F168" t="s">
        <v>60</v>
      </c>
      <c r="G168">
        <v>3</v>
      </c>
      <c r="H168">
        <v>257.55</v>
      </c>
      <c r="I168" t="str">
        <f>VLOOKUP(Sales_Table[[#This Row],[ProductID]],Product_Table[],2,FALSE)</f>
        <v>Product_29</v>
      </c>
      <c r="J168" t="str">
        <f>VLOOKUP(Sales_Table[[#This Row],[ProductID]],Product_Table[],3,FALSE)</f>
        <v>Beauty</v>
      </c>
      <c r="K168">
        <f>_xlfn.XLOOKUP(Sales_Table[[#This Row],[ProductID]],Product_Table[ProductID],Product_Table[UnitPrice],"NULL",0)</f>
        <v>85.85</v>
      </c>
      <c r="L168" t="str">
        <f>_xlfn.XLOOKUP(Sales_Table[[#This Row],[CustomerID]],Customer_Table[CustomerID],Customer_Table[CustomerName],"NULL",0)</f>
        <v>Customer_64</v>
      </c>
      <c r="M168" t="str">
        <f>INDEX(Customer_Table[Country],MATCH(Sales_Table[[#This Row],[CustomerID]],Customer_Table[CustomerID],0))</f>
        <v>United States</v>
      </c>
      <c r="N168" t="str">
        <f>INDEX(Customer_Table[Email],MATCH(Sales_Table[[#This Row],[CustomerID]],Customer_Table[CustomerID],0))</f>
        <v>customer64@email.com</v>
      </c>
    </row>
    <row r="169" spans="1:14" x14ac:dyDescent="0.3">
      <c r="A169" t="s">
        <v>309</v>
      </c>
      <c r="B169" s="1">
        <v>45334</v>
      </c>
      <c r="C169" s="1" t="str">
        <f>TEXT(Sales_Table[[#This Row],[OrderDate]],"DDDD")</f>
        <v>Monday</v>
      </c>
      <c r="D169" s="1" t="str">
        <f>TEXT(Sales_Table[[#This Row],[OrderDate]],"MMMM")</f>
        <v>February</v>
      </c>
      <c r="E169" t="s">
        <v>310</v>
      </c>
      <c r="F169" t="s">
        <v>137</v>
      </c>
      <c r="G169">
        <v>4</v>
      </c>
      <c r="H169">
        <v>466.68</v>
      </c>
      <c r="I169" t="str">
        <f>VLOOKUP(Sales_Table[[#This Row],[ProductID]],Product_Table[],2,FALSE)</f>
        <v>Product_30</v>
      </c>
      <c r="J169" t="str">
        <f>VLOOKUP(Sales_Table[[#This Row],[ProductID]],Product_Table[],3,FALSE)</f>
        <v>Home</v>
      </c>
      <c r="K169">
        <f>_xlfn.XLOOKUP(Sales_Table[[#This Row],[ProductID]],Product_Table[ProductID],Product_Table[UnitPrice],"NULL",0)</f>
        <v>116.67</v>
      </c>
      <c r="L169" t="str">
        <f>_xlfn.XLOOKUP(Sales_Table[[#This Row],[CustomerID]],Customer_Table[CustomerID],Customer_Table[CustomerName],"NULL",0)</f>
        <v>Customer_103</v>
      </c>
      <c r="M169" t="str">
        <f>INDEX(Customer_Table[Country],MATCH(Sales_Table[[#This Row],[CustomerID]],Customer_Table[CustomerID],0))</f>
        <v>United States</v>
      </c>
      <c r="N169" t="str">
        <f>INDEX(Customer_Table[Email],MATCH(Sales_Table[[#This Row],[CustomerID]],Customer_Table[CustomerID],0))</f>
        <v>customer103@email.com</v>
      </c>
    </row>
    <row r="170" spans="1:14" x14ac:dyDescent="0.3">
      <c r="A170" t="s">
        <v>311</v>
      </c>
      <c r="B170" s="1">
        <v>45324</v>
      </c>
      <c r="C170" s="1" t="str">
        <f>TEXT(Sales_Table[[#This Row],[OrderDate]],"DDDD")</f>
        <v>Friday</v>
      </c>
      <c r="D170" s="1" t="str">
        <f>TEXT(Sales_Table[[#This Row],[OrderDate]],"MMMM")</f>
        <v>February</v>
      </c>
      <c r="E170" t="s">
        <v>147</v>
      </c>
      <c r="F170" t="s">
        <v>312</v>
      </c>
      <c r="G170">
        <v>4</v>
      </c>
      <c r="H170">
        <v>1096.8800000000001</v>
      </c>
      <c r="I170" t="str">
        <f>VLOOKUP(Sales_Table[[#This Row],[ProductID]],Product_Table[],2,FALSE)</f>
        <v>Product_4</v>
      </c>
      <c r="J170" t="str">
        <f>VLOOKUP(Sales_Table[[#This Row],[ProductID]],Product_Table[],3,FALSE)</f>
        <v>Clothing</v>
      </c>
      <c r="K170">
        <f>_xlfn.XLOOKUP(Sales_Table[[#This Row],[ProductID]],Product_Table[ProductID],Product_Table[UnitPrice],"NULL",0)</f>
        <v>274.22000000000003</v>
      </c>
      <c r="L170" t="str">
        <f>_xlfn.XLOOKUP(Sales_Table[[#This Row],[CustomerID]],Customer_Table[CustomerID],Customer_Table[CustomerName],"NULL",0)</f>
        <v>Customer_30</v>
      </c>
      <c r="M170" t="str">
        <f>INDEX(Customer_Table[Country],MATCH(Sales_Table[[#This Row],[CustomerID]],Customer_Table[CustomerID],0))</f>
        <v>United States</v>
      </c>
      <c r="N170" t="str">
        <f>INDEX(Customer_Table[Email],MATCH(Sales_Table[[#This Row],[CustomerID]],Customer_Table[CustomerID],0))</f>
        <v>customer30@email.com</v>
      </c>
    </row>
    <row r="171" spans="1:14" x14ac:dyDescent="0.3">
      <c r="A171" t="s">
        <v>313</v>
      </c>
      <c r="B171" s="1">
        <v>45428</v>
      </c>
      <c r="C171" s="1" t="str">
        <f>TEXT(Sales_Table[[#This Row],[OrderDate]],"DDDD")</f>
        <v>Thursday</v>
      </c>
      <c r="D171" s="1" t="str">
        <f>TEXT(Sales_Table[[#This Row],[OrderDate]],"MMMM")</f>
        <v>May</v>
      </c>
      <c r="E171" t="s">
        <v>21</v>
      </c>
      <c r="F171" t="s">
        <v>140</v>
      </c>
      <c r="G171">
        <v>5</v>
      </c>
      <c r="H171">
        <v>1689</v>
      </c>
      <c r="I171" t="str">
        <f>VLOOKUP(Sales_Table[[#This Row],[ProductID]],Product_Table[],2,FALSE)</f>
        <v>Product_3</v>
      </c>
      <c r="J171" t="str">
        <f>VLOOKUP(Sales_Table[[#This Row],[ProductID]],Product_Table[],3,FALSE)</f>
        <v>Home</v>
      </c>
      <c r="K171">
        <f>_xlfn.XLOOKUP(Sales_Table[[#This Row],[ProductID]],Product_Table[ProductID],Product_Table[UnitPrice],"NULL",0)</f>
        <v>337.8</v>
      </c>
      <c r="L171" t="str">
        <f>_xlfn.XLOOKUP(Sales_Table[[#This Row],[CustomerID]],Customer_Table[CustomerID],Customer_Table[CustomerName],"NULL",0)</f>
        <v>Customer_91</v>
      </c>
      <c r="M171" t="str">
        <f>INDEX(Customer_Table[Country],MATCH(Sales_Table[[#This Row],[CustomerID]],Customer_Table[CustomerID],0))</f>
        <v>Canada</v>
      </c>
      <c r="N171" t="str">
        <f>INDEX(Customer_Table[Email],MATCH(Sales_Table[[#This Row],[CustomerID]],Customer_Table[CustomerID],0))</f>
        <v>customer91@email.com</v>
      </c>
    </row>
    <row r="172" spans="1:14" x14ac:dyDescent="0.3">
      <c r="A172" t="s">
        <v>314</v>
      </c>
      <c r="B172" s="1">
        <v>45392</v>
      </c>
      <c r="C172" s="1" t="str">
        <f>TEXT(Sales_Table[[#This Row],[OrderDate]],"DDDD")</f>
        <v>Wednesday</v>
      </c>
      <c r="D172" s="1" t="str">
        <f>TEXT(Sales_Table[[#This Row],[OrderDate]],"MMMM")</f>
        <v>April</v>
      </c>
      <c r="E172" t="s">
        <v>315</v>
      </c>
      <c r="F172" t="s">
        <v>25</v>
      </c>
      <c r="G172">
        <v>1</v>
      </c>
      <c r="H172">
        <v>394.46</v>
      </c>
      <c r="I172" t="str">
        <f>VLOOKUP(Sales_Table[[#This Row],[ProductID]],Product_Table[],2,FALSE)</f>
        <v>Product_6</v>
      </c>
      <c r="J172" t="str">
        <f>VLOOKUP(Sales_Table[[#This Row],[ProductID]],Product_Table[],3,FALSE)</f>
        <v>Clothing</v>
      </c>
      <c r="K172">
        <f>_xlfn.XLOOKUP(Sales_Table[[#This Row],[ProductID]],Product_Table[ProductID],Product_Table[UnitPrice],"NULL",0)</f>
        <v>394.46</v>
      </c>
      <c r="L172" t="str">
        <f>_xlfn.XLOOKUP(Sales_Table[[#This Row],[CustomerID]],Customer_Table[CustomerID],Customer_Table[CustomerName],"NULL",0)</f>
        <v>Customer_74</v>
      </c>
      <c r="M172" t="str">
        <f>INDEX(Customer_Table[Country],MATCH(Sales_Table[[#This Row],[CustomerID]],Customer_Table[CustomerID],0))</f>
        <v>Canada</v>
      </c>
      <c r="N172" t="str">
        <f>INDEX(Customer_Table[Email],MATCH(Sales_Table[[#This Row],[CustomerID]],Customer_Table[CustomerID],0))</f>
        <v>customer74@email.com</v>
      </c>
    </row>
    <row r="173" spans="1:14" x14ac:dyDescent="0.3">
      <c r="A173" t="s">
        <v>316</v>
      </c>
      <c r="B173" s="1">
        <v>45436</v>
      </c>
      <c r="C173" s="1" t="str">
        <f>TEXT(Sales_Table[[#This Row],[OrderDate]],"DDDD")</f>
        <v>Friday</v>
      </c>
      <c r="D173" s="1" t="str">
        <f>TEXT(Sales_Table[[#This Row],[OrderDate]],"MMMM")</f>
        <v>May</v>
      </c>
      <c r="E173" t="s">
        <v>253</v>
      </c>
      <c r="F173" t="s">
        <v>89</v>
      </c>
      <c r="G173">
        <v>5</v>
      </c>
      <c r="H173">
        <v>2166.4</v>
      </c>
      <c r="I173" t="str">
        <f>VLOOKUP(Sales_Table[[#This Row],[ProductID]],Product_Table[],2,FALSE)</f>
        <v>Product_10</v>
      </c>
      <c r="J173" t="str">
        <f>VLOOKUP(Sales_Table[[#This Row],[ProductID]],Product_Table[],3,FALSE)</f>
        <v>Beauty</v>
      </c>
      <c r="K173">
        <f>_xlfn.XLOOKUP(Sales_Table[[#This Row],[ProductID]],Product_Table[ProductID],Product_Table[UnitPrice],"NULL",0)</f>
        <v>433.28</v>
      </c>
      <c r="L173" t="str">
        <f>_xlfn.XLOOKUP(Sales_Table[[#This Row],[CustomerID]],Customer_Table[CustomerID],Customer_Table[CustomerName],"NULL",0)</f>
        <v>Customer_8</v>
      </c>
      <c r="M173" t="str">
        <f>INDEX(Customer_Table[Country],MATCH(Sales_Table[[#This Row],[CustomerID]],Customer_Table[CustomerID],0))</f>
        <v>United Kingdom</v>
      </c>
      <c r="N173" t="str">
        <f>INDEX(Customer_Table[Email],MATCH(Sales_Table[[#This Row],[CustomerID]],Customer_Table[CustomerID],0))</f>
        <v>customer8@email.com</v>
      </c>
    </row>
    <row r="174" spans="1:14" x14ac:dyDescent="0.3">
      <c r="A174" t="s">
        <v>317</v>
      </c>
      <c r="B174" s="1">
        <v>45313</v>
      </c>
      <c r="C174" s="1" t="str">
        <f>TEXT(Sales_Table[[#This Row],[OrderDate]],"DDDD")</f>
        <v>Monday</v>
      </c>
      <c r="D174" s="1" t="str">
        <f>TEXT(Sales_Table[[#This Row],[OrderDate]],"MMMM")</f>
        <v>January</v>
      </c>
      <c r="E174" t="s">
        <v>318</v>
      </c>
      <c r="F174" t="s">
        <v>16</v>
      </c>
      <c r="G174">
        <v>1</v>
      </c>
      <c r="H174">
        <v>419.65</v>
      </c>
      <c r="I174" t="str">
        <f>VLOOKUP(Sales_Table[[#This Row],[ProductID]],Product_Table[],2,FALSE)</f>
        <v>Product_20</v>
      </c>
      <c r="J174" t="str">
        <f>VLOOKUP(Sales_Table[[#This Row],[ProductID]],Product_Table[],3,FALSE)</f>
        <v>Sports</v>
      </c>
      <c r="K174">
        <f>_xlfn.XLOOKUP(Sales_Table[[#This Row],[ProductID]],Product_Table[ProductID],Product_Table[UnitPrice],"NULL",0)</f>
        <v>419.65</v>
      </c>
      <c r="L174" t="str">
        <f>_xlfn.XLOOKUP(Sales_Table[[#This Row],[CustomerID]],Customer_Table[CustomerID],Customer_Table[CustomerName],"NULL",0)</f>
        <v>Customer_23</v>
      </c>
      <c r="M174" t="str">
        <f>INDEX(Customer_Table[Country],MATCH(Sales_Table[[#This Row],[CustomerID]],Customer_Table[CustomerID],0))</f>
        <v>United States</v>
      </c>
      <c r="N174" t="str">
        <f>INDEX(Customer_Table[Email],MATCH(Sales_Table[[#This Row],[CustomerID]],Customer_Table[CustomerID],0))</f>
        <v>customer23@email.com</v>
      </c>
    </row>
    <row r="175" spans="1:14" x14ac:dyDescent="0.3">
      <c r="A175" t="s">
        <v>319</v>
      </c>
      <c r="B175" s="1">
        <v>45326</v>
      </c>
      <c r="C175" s="1" t="str">
        <f>TEXT(Sales_Table[[#This Row],[OrderDate]],"DDDD")</f>
        <v>Sunday</v>
      </c>
      <c r="D175" s="1" t="str">
        <f>TEXT(Sales_Table[[#This Row],[OrderDate]],"MMMM")</f>
        <v>February</v>
      </c>
      <c r="E175" t="s">
        <v>320</v>
      </c>
      <c r="F175" t="s">
        <v>132</v>
      </c>
      <c r="G175">
        <v>4</v>
      </c>
      <c r="H175">
        <v>158.80000000000001</v>
      </c>
      <c r="I175" t="str">
        <f>VLOOKUP(Sales_Table[[#This Row],[ProductID]],Product_Table[],2,FALSE)</f>
        <v>Product_12</v>
      </c>
      <c r="J175" t="str">
        <f>VLOOKUP(Sales_Table[[#This Row],[ProductID]],Product_Table[],3,FALSE)</f>
        <v>Electronics</v>
      </c>
      <c r="K175">
        <f>_xlfn.XLOOKUP(Sales_Table[[#This Row],[ProductID]],Product_Table[ProductID],Product_Table[UnitPrice],"NULL",0)</f>
        <v>39.700000000000003</v>
      </c>
      <c r="L175" t="str">
        <f>_xlfn.XLOOKUP(Sales_Table[[#This Row],[CustomerID]],Customer_Table[CustomerID],Customer_Table[CustomerName],"NULL",0)</f>
        <v>Customer_51</v>
      </c>
      <c r="M175" t="str">
        <f>INDEX(Customer_Table[Country],MATCH(Sales_Table[[#This Row],[CustomerID]],Customer_Table[CustomerID],0))</f>
        <v>United Kingdom</v>
      </c>
      <c r="N175" t="str">
        <f>INDEX(Customer_Table[Email],MATCH(Sales_Table[[#This Row],[CustomerID]],Customer_Table[CustomerID],0))</f>
        <v>customer51@email.com</v>
      </c>
    </row>
    <row r="176" spans="1:14" x14ac:dyDescent="0.3">
      <c r="A176" t="s">
        <v>321</v>
      </c>
      <c r="B176" s="1">
        <v>45338</v>
      </c>
      <c r="C176" s="1" t="str">
        <f>TEXT(Sales_Table[[#This Row],[OrderDate]],"DDDD")</f>
        <v>Friday</v>
      </c>
      <c r="D176" s="1" t="str">
        <f>TEXT(Sales_Table[[#This Row],[OrderDate]],"MMMM")</f>
        <v>February</v>
      </c>
      <c r="E176" t="s">
        <v>277</v>
      </c>
      <c r="F176" t="s">
        <v>36</v>
      </c>
      <c r="G176">
        <v>4</v>
      </c>
      <c r="H176">
        <v>1808.8</v>
      </c>
      <c r="I176" t="str">
        <f>VLOOKUP(Sales_Table[[#This Row],[ProductID]],Product_Table[],2,FALSE)</f>
        <v>Product_24</v>
      </c>
      <c r="J176" t="str">
        <f>VLOOKUP(Sales_Table[[#This Row],[ProductID]],Product_Table[],3,FALSE)</f>
        <v>Beauty</v>
      </c>
      <c r="K176">
        <f>_xlfn.XLOOKUP(Sales_Table[[#This Row],[ProductID]],Product_Table[ProductID],Product_Table[UnitPrice],"NULL",0)</f>
        <v>452.2</v>
      </c>
      <c r="L176" t="str">
        <f>_xlfn.XLOOKUP(Sales_Table[[#This Row],[CustomerID]],Customer_Table[CustomerID],Customer_Table[CustomerName],"NULL",0)</f>
        <v>Customer_20</v>
      </c>
      <c r="M176" t="str">
        <f>INDEX(Customer_Table[Country],MATCH(Sales_Table[[#This Row],[CustomerID]],Customer_Table[CustomerID],0))</f>
        <v>United Kingdom</v>
      </c>
      <c r="N176" t="str">
        <f>INDEX(Customer_Table[Email],MATCH(Sales_Table[[#This Row],[CustomerID]],Customer_Table[CustomerID],0))</f>
        <v>customer20@email.com</v>
      </c>
    </row>
    <row r="177" spans="1:14" x14ac:dyDescent="0.3">
      <c r="A177" t="s">
        <v>322</v>
      </c>
      <c r="B177" s="1">
        <v>45358</v>
      </c>
      <c r="C177" s="1" t="str">
        <f>TEXT(Sales_Table[[#This Row],[OrderDate]],"DDDD")</f>
        <v>Thursday</v>
      </c>
      <c r="D177" s="1" t="str">
        <f>TEXT(Sales_Table[[#This Row],[OrderDate]],"MMMM")</f>
        <v>March</v>
      </c>
      <c r="E177" t="s">
        <v>323</v>
      </c>
      <c r="F177" t="s">
        <v>60</v>
      </c>
      <c r="G177">
        <v>1</v>
      </c>
      <c r="H177">
        <v>85.85</v>
      </c>
      <c r="I177" t="str">
        <f>VLOOKUP(Sales_Table[[#This Row],[ProductID]],Product_Table[],2,FALSE)</f>
        <v>Product_29</v>
      </c>
      <c r="J177" t="str">
        <f>VLOOKUP(Sales_Table[[#This Row],[ProductID]],Product_Table[],3,FALSE)</f>
        <v>Beauty</v>
      </c>
      <c r="K177">
        <f>_xlfn.XLOOKUP(Sales_Table[[#This Row],[ProductID]],Product_Table[ProductID],Product_Table[UnitPrice],"NULL",0)</f>
        <v>85.85</v>
      </c>
      <c r="L177" t="str">
        <f>_xlfn.XLOOKUP(Sales_Table[[#This Row],[CustomerID]],Customer_Table[CustomerID],Customer_Table[CustomerName],"NULL",0)</f>
        <v>Customer_93</v>
      </c>
      <c r="M177" t="str">
        <f>INDEX(Customer_Table[Country],MATCH(Sales_Table[[#This Row],[CustomerID]],Customer_Table[CustomerID],0))</f>
        <v>United States</v>
      </c>
      <c r="N177" t="str">
        <f>INDEX(Customer_Table[Email],MATCH(Sales_Table[[#This Row],[CustomerID]],Customer_Table[CustomerID],0))</f>
        <v>customer93@email.com</v>
      </c>
    </row>
    <row r="178" spans="1:14" x14ac:dyDescent="0.3">
      <c r="A178" t="s">
        <v>324</v>
      </c>
      <c r="B178" s="1">
        <v>45375</v>
      </c>
      <c r="C178" s="1" t="str">
        <f>TEXT(Sales_Table[[#This Row],[OrderDate]],"DDDD")</f>
        <v>Sunday</v>
      </c>
      <c r="D178" s="1" t="str">
        <f>TEXT(Sales_Table[[#This Row],[OrderDate]],"MMMM")</f>
        <v>March</v>
      </c>
      <c r="E178" t="s">
        <v>119</v>
      </c>
      <c r="F178" t="s">
        <v>116</v>
      </c>
      <c r="G178">
        <v>4</v>
      </c>
      <c r="H178">
        <v>197</v>
      </c>
      <c r="I178" t="str">
        <f>VLOOKUP(Sales_Table[[#This Row],[ProductID]],Product_Table[],2,FALSE)</f>
        <v>Product_36</v>
      </c>
      <c r="J178" t="str">
        <f>VLOOKUP(Sales_Table[[#This Row],[ProductID]],Product_Table[],3,FALSE)</f>
        <v>Sports</v>
      </c>
      <c r="K178">
        <f>_xlfn.XLOOKUP(Sales_Table[[#This Row],[ProductID]],Product_Table[ProductID],Product_Table[UnitPrice],"NULL",0)</f>
        <v>49.25</v>
      </c>
      <c r="L178" t="str">
        <f>_xlfn.XLOOKUP(Sales_Table[[#This Row],[CustomerID]],Customer_Table[CustomerID],Customer_Table[CustomerName],"NULL",0)</f>
        <v>Customer_59</v>
      </c>
      <c r="M178" t="str">
        <f>INDEX(Customer_Table[Country],MATCH(Sales_Table[[#This Row],[CustomerID]],Customer_Table[CustomerID],0))</f>
        <v>United Kingdom</v>
      </c>
      <c r="N178" t="str">
        <f>INDEX(Customer_Table[Email],MATCH(Sales_Table[[#This Row],[CustomerID]],Customer_Table[CustomerID],0))</f>
        <v>customer59@email.com</v>
      </c>
    </row>
    <row r="179" spans="1:14" x14ac:dyDescent="0.3">
      <c r="A179" t="s">
        <v>325</v>
      </c>
      <c r="B179" s="1">
        <v>45408</v>
      </c>
      <c r="C179" s="1" t="str">
        <f>TEXT(Sales_Table[[#This Row],[OrderDate]],"DDDD")</f>
        <v>Friday</v>
      </c>
      <c r="D179" s="1" t="str">
        <f>TEXT(Sales_Table[[#This Row],[OrderDate]],"MMMM")</f>
        <v>April</v>
      </c>
      <c r="E179" t="s">
        <v>326</v>
      </c>
      <c r="F179" t="s">
        <v>43</v>
      </c>
      <c r="G179">
        <v>2</v>
      </c>
      <c r="H179">
        <v>584.67999999999995</v>
      </c>
      <c r="I179" t="str">
        <f>VLOOKUP(Sales_Table[[#This Row],[ProductID]],Product_Table[],2,FALSE)</f>
        <v>Product_5</v>
      </c>
      <c r="J179" t="str">
        <f>VLOOKUP(Sales_Table[[#This Row],[ProductID]],Product_Table[],3,FALSE)</f>
        <v>Sports</v>
      </c>
      <c r="K179">
        <f>_xlfn.XLOOKUP(Sales_Table[[#This Row],[ProductID]],Product_Table[ProductID],Product_Table[UnitPrice],"NULL",0)</f>
        <v>292.33999999999997</v>
      </c>
      <c r="L179" t="str">
        <f>_xlfn.XLOOKUP(Sales_Table[[#This Row],[CustomerID]],Customer_Table[CustomerID],Customer_Table[CustomerName],"NULL",0)</f>
        <v>Customer_118</v>
      </c>
      <c r="M179" t="str">
        <f>INDEX(Customer_Table[Country],MATCH(Sales_Table[[#This Row],[CustomerID]],Customer_Table[CustomerID],0))</f>
        <v>United Kingdom</v>
      </c>
      <c r="N179" t="str">
        <f>INDEX(Customer_Table[Email],MATCH(Sales_Table[[#This Row],[CustomerID]],Customer_Table[CustomerID],0))</f>
        <v>customer118@email.com</v>
      </c>
    </row>
    <row r="180" spans="1:14" x14ac:dyDescent="0.3">
      <c r="A180" t="s">
        <v>327</v>
      </c>
      <c r="B180" s="1">
        <v>45378</v>
      </c>
      <c r="C180" s="1" t="str">
        <f>TEXT(Sales_Table[[#This Row],[OrderDate]],"DDDD")</f>
        <v>Wednesday</v>
      </c>
      <c r="D180" s="1" t="str">
        <f>TEXT(Sales_Table[[#This Row],[OrderDate]],"MMMM")</f>
        <v>March</v>
      </c>
      <c r="E180" t="s">
        <v>175</v>
      </c>
      <c r="F180" t="s">
        <v>132</v>
      </c>
      <c r="G180">
        <v>3</v>
      </c>
      <c r="H180">
        <v>119.1</v>
      </c>
      <c r="I180" t="str">
        <f>VLOOKUP(Sales_Table[[#This Row],[ProductID]],Product_Table[],2,FALSE)</f>
        <v>Product_12</v>
      </c>
      <c r="J180" t="str">
        <f>VLOOKUP(Sales_Table[[#This Row],[ProductID]],Product_Table[],3,FALSE)</f>
        <v>Electronics</v>
      </c>
      <c r="K180">
        <f>_xlfn.XLOOKUP(Sales_Table[[#This Row],[ProductID]],Product_Table[ProductID],Product_Table[UnitPrice],"NULL",0)</f>
        <v>39.700000000000003</v>
      </c>
      <c r="L180" t="str">
        <f>_xlfn.XLOOKUP(Sales_Table[[#This Row],[CustomerID]],Customer_Table[CustomerID],Customer_Table[CustomerName],"NULL",0)</f>
        <v>Customer_113</v>
      </c>
      <c r="M180" t="str">
        <f>INDEX(Customer_Table[Country],MATCH(Sales_Table[[#This Row],[CustomerID]],Customer_Table[CustomerID],0))</f>
        <v>United Kingdom</v>
      </c>
      <c r="N180" t="str">
        <f>INDEX(Customer_Table[Email],MATCH(Sales_Table[[#This Row],[CustomerID]],Customer_Table[CustomerID],0))</f>
        <v>customer113@email.com</v>
      </c>
    </row>
    <row r="181" spans="1:14" x14ac:dyDescent="0.3">
      <c r="A181" t="s">
        <v>328</v>
      </c>
      <c r="B181" s="1">
        <v>45363</v>
      </c>
      <c r="C181" s="1" t="str">
        <f>TEXT(Sales_Table[[#This Row],[OrderDate]],"DDDD")</f>
        <v>Tuesday</v>
      </c>
      <c r="D181" s="1" t="str">
        <f>TEXT(Sales_Table[[#This Row],[OrderDate]],"MMMM")</f>
        <v>March</v>
      </c>
      <c r="E181" t="s">
        <v>214</v>
      </c>
      <c r="F181" t="s">
        <v>43</v>
      </c>
      <c r="G181">
        <v>4</v>
      </c>
      <c r="H181">
        <v>1169.3599999999999</v>
      </c>
      <c r="I181" t="str">
        <f>VLOOKUP(Sales_Table[[#This Row],[ProductID]],Product_Table[],2,FALSE)</f>
        <v>Product_5</v>
      </c>
      <c r="J181" t="str">
        <f>VLOOKUP(Sales_Table[[#This Row],[ProductID]],Product_Table[],3,FALSE)</f>
        <v>Sports</v>
      </c>
      <c r="K181">
        <f>_xlfn.XLOOKUP(Sales_Table[[#This Row],[ProductID]],Product_Table[ProductID],Product_Table[UnitPrice],"NULL",0)</f>
        <v>292.33999999999997</v>
      </c>
      <c r="L181" t="str">
        <f>_xlfn.XLOOKUP(Sales_Table[[#This Row],[CustomerID]],Customer_Table[CustomerID],Customer_Table[CustomerName],"NULL",0)</f>
        <v>Customer_10</v>
      </c>
      <c r="M181" t="str">
        <f>INDEX(Customer_Table[Country],MATCH(Sales_Table[[#This Row],[CustomerID]],Customer_Table[CustomerID],0))</f>
        <v>Canada</v>
      </c>
      <c r="N181" t="str">
        <f>INDEX(Customer_Table[Email],MATCH(Sales_Table[[#This Row],[CustomerID]],Customer_Table[CustomerID],0))</f>
        <v>customer10@email.com</v>
      </c>
    </row>
    <row r="182" spans="1:14" x14ac:dyDescent="0.3">
      <c r="A182" t="s">
        <v>329</v>
      </c>
      <c r="B182" s="1">
        <v>45356</v>
      </c>
      <c r="C182" s="1" t="str">
        <f>TEXT(Sales_Table[[#This Row],[OrderDate]],"DDDD")</f>
        <v>Tuesday</v>
      </c>
      <c r="D182" s="1" t="str">
        <f>TEXT(Sales_Table[[#This Row],[OrderDate]],"MMMM")</f>
        <v>March</v>
      </c>
      <c r="E182" t="s">
        <v>153</v>
      </c>
      <c r="F182" t="s">
        <v>16</v>
      </c>
      <c r="G182">
        <v>4</v>
      </c>
      <c r="H182">
        <v>1678.6</v>
      </c>
      <c r="I182" t="str">
        <f>VLOOKUP(Sales_Table[[#This Row],[ProductID]],Product_Table[],2,FALSE)</f>
        <v>Product_20</v>
      </c>
      <c r="J182" t="str">
        <f>VLOOKUP(Sales_Table[[#This Row],[ProductID]],Product_Table[],3,FALSE)</f>
        <v>Sports</v>
      </c>
      <c r="K182">
        <f>_xlfn.XLOOKUP(Sales_Table[[#This Row],[ProductID]],Product_Table[ProductID],Product_Table[UnitPrice],"NULL",0)</f>
        <v>419.65</v>
      </c>
      <c r="L182" t="str">
        <f>_xlfn.XLOOKUP(Sales_Table[[#This Row],[CustomerID]],Customer_Table[CustomerID],Customer_Table[CustomerName],"NULL",0)</f>
        <v>Customer_66</v>
      </c>
      <c r="M182" t="str">
        <f>INDEX(Customer_Table[Country],MATCH(Sales_Table[[#This Row],[CustomerID]],Customer_Table[CustomerID],0))</f>
        <v>United Kingdom</v>
      </c>
      <c r="N182" t="str">
        <f>INDEX(Customer_Table[Email],MATCH(Sales_Table[[#This Row],[CustomerID]],Customer_Table[CustomerID],0))</f>
        <v>customer66@email.com</v>
      </c>
    </row>
    <row r="183" spans="1:14" x14ac:dyDescent="0.3">
      <c r="A183" t="s">
        <v>330</v>
      </c>
      <c r="B183" s="1">
        <v>45412</v>
      </c>
      <c r="C183" s="1" t="str">
        <f>TEXT(Sales_Table[[#This Row],[OrderDate]],"DDDD")</f>
        <v>Tuesday</v>
      </c>
      <c r="D183" s="1" t="str">
        <f>TEXT(Sales_Table[[#This Row],[OrderDate]],"MMMM")</f>
        <v>April</v>
      </c>
      <c r="E183" t="s">
        <v>331</v>
      </c>
      <c r="F183" t="s">
        <v>186</v>
      </c>
      <c r="G183">
        <v>1</v>
      </c>
      <c r="H183">
        <v>217.55</v>
      </c>
      <c r="I183" t="str">
        <f>VLOOKUP(Sales_Table[[#This Row],[ProductID]],Product_Table[],2,FALSE)</f>
        <v>Product_9</v>
      </c>
      <c r="J183" t="str">
        <f>VLOOKUP(Sales_Table[[#This Row],[ProductID]],Product_Table[],3,FALSE)</f>
        <v>Home</v>
      </c>
      <c r="K183">
        <f>_xlfn.XLOOKUP(Sales_Table[[#This Row],[ProductID]],Product_Table[ProductID],Product_Table[UnitPrice],"NULL",0)</f>
        <v>217.55</v>
      </c>
      <c r="L183" t="str">
        <f>_xlfn.XLOOKUP(Sales_Table[[#This Row],[CustomerID]],Customer_Table[CustomerID],Customer_Table[CustomerName],"NULL",0)</f>
        <v>Customer_22</v>
      </c>
      <c r="M183" t="str">
        <f>INDEX(Customer_Table[Country],MATCH(Sales_Table[[#This Row],[CustomerID]],Customer_Table[CustomerID],0))</f>
        <v>United States</v>
      </c>
      <c r="N183" t="str">
        <f>INDEX(Customer_Table[Email],MATCH(Sales_Table[[#This Row],[CustomerID]],Customer_Table[CustomerID],0))</f>
        <v>customer22@email.com</v>
      </c>
    </row>
    <row r="184" spans="1:14" x14ac:dyDescent="0.3">
      <c r="A184" t="s">
        <v>332</v>
      </c>
      <c r="B184" s="1">
        <v>45430</v>
      </c>
      <c r="C184" s="1" t="str">
        <f>TEXT(Sales_Table[[#This Row],[OrderDate]],"DDDD")</f>
        <v>Saturday</v>
      </c>
      <c r="D184" s="1" t="str">
        <f>TEXT(Sales_Table[[#This Row],[OrderDate]],"MMMM")</f>
        <v>May</v>
      </c>
      <c r="E184" t="s">
        <v>253</v>
      </c>
      <c r="F184" t="s">
        <v>137</v>
      </c>
      <c r="G184">
        <v>1</v>
      </c>
      <c r="H184">
        <v>116.67</v>
      </c>
      <c r="I184" t="str">
        <f>VLOOKUP(Sales_Table[[#This Row],[ProductID]],Product_Table[],2,FALSE)</f>
        <v>Product_30</v>
      </c>
      <c r="J184" t="str">
        <f>VLOOKUP(Sales_Table[[#This Row],[ProductID]],Product_Table[],3,FALSE)</f>
        <v>Home</v>
      </c>
      <c r="K184">
        <f>_xlfn.XLOOKUP(Sales_Table[[#This Row],[ProductID]],Product_Table[ProductID],Product_Table[UnitPrice],"NULL",0)</f>
        <v>116.67</v>
      </c>
      <c r="L184" t="str">
        <f>_xlfn.XLOOKUP(Sales_Table[[#This Row],[CustomerID]],Customer_Table[CustomerID],Customer_Table[CustomerName],"NULL",0)</f>
        <v>Customer_8</v>
      </c>
      <c r="M184" t="str">
        <f>INDEX(Customer_Table[Country],MATCH(Sales_Table[[#This Row],[CustomerID]],Customer_Table[CustomerID],0))</f>
        <v>United Kingdom</v>
      </c>
      <c r="N184" t="str">
        <f>INDEX(Customer_Table[Email],MATCH(Sales_Table[[#This Row],[CustomerID]],Customer_Table[CustomerID],0))</f>
        <v>customer8@email.com</v>
      </c>
    </row>
    <row r="185" spans="1:14" x14ac:dyDescent="0.3">
      <c r="A185" t="s">
        <v>333</v>
      </c>
      <c r="B185" s="1">
        <v>45381</v>
      </c>
      <c r="C185" s="1" t="str">
        <f>TEXT(Sales_Table[[#This Row],[OrderDate]],"DDDD")</f>
        <v>Saturday</v>
      </c>
      <c r="D185" s="1" t="str">
        <f>TEXT(Sales_Table[[#This Row],[OrderDate]],"MMMM")</f>
        <v>March</v>
      </c>
      <c r="E185" t="s">
        <v>241</v>
      </c>
      <c r="F185" t="s">
        <v>25</v>
      </c>
      <c r="G185">
        <v>1</v>
      </c>
      <c r="H185">
        <v>394.46</v>
      </c>
      <c r="I185" t="str">
        <f>VLOOKUP(Sales_Table[[#This Row],[ProductID]],Product_Table[],2,FALSE)</f>
        <v>Product_6</v>
      </c>
      <c r="J185" t="str">
        <f>VLOOKUP(Sales_Table[[#This Row],[ProductID]],Product_Table[],3,FALSE)</f>
        <v>Clothing</v>
      </c>
      <c r="K185">
        <f>_xlfn.XLOOKUP(Sales_Table[[#This Row],[ProductID]],Product_Table[ProductID],Product_Table[UnitPrice],"NULL",0)</f>
        <v>394.46</v>
      </c>
      <c r="L185" t="str">
        <f>_xlfn.XLOOKUP(Sales_Table[[#This Row],[CustomerID]],Customer_Table[CustomerID],Customer_Table[CustomerName],"NULL",0)</f>
        <v>Customer_119</v>
      </c>
      <c r="M185" t="str">
        <f>INDEX(Customer_Table[Country],MATCH(Sales_Table[[#This Row],[CustomerID]],Customer_Table[CustomerID],0))</f>
        <v>India</v>
      </c>
      <c r="N185" t="str">
        <f>INDEX(Customer_Table[Email],MATCH(Sales_Table[[#This Row],[CustomerID]],Customer_Table[CustomerID],0))</f>
        <v>customer119@email.com</v>
      </c>
    </row>
    <row r="186" spans="1:14" x14ac:dyDescent="0.3">
      <c r="A186" t="s">
        <v>334</v>
      </c>
      <c r="B186" s="1">
        <v>45458</v>
      </c>
      <c r="C186" s="1" t="str">
        <f>TEXT(Sales_Table[[#This Row],[OrderDate]],"DDDD")</f>
        <v>Saturday</v>
      </c>
      <c r="D186" s="1" t="str">
        <f>TEXT(Sales_Table[[#This Row],[OrderDate]],"MMMM")</f>
        <v>June</v>
      </c>
      <c r="E186" t="s">
        <v>84</v>
      </c>
      <c r="F186" t="s">
        <v>36</v>
      </c>
      <c r="G186">
        <v>2</v>
      </c>
      <c r="H186">
        <v>904.4</v>
      </c>
      <c r="I186" t="str">
        <f>VLOOKUP(Sales_Table[[#This Row],[ProductID]],Product_Table[],2,FALSE)</f>
        <v>Product_24</v>
      </c>
      <c r="J186" t="str">
        <f>VLOOKUP(Sales_Table[[#This Row],[ProductID]],Product_Table[],3,FALSE)</f>
        <v>Beauty</v>
      </c>
      <c r="K186">
        <f>_xlfn.XLOOKUP(Sales_Table[[#This Row],[ProductID]],Product_Table[ProductID],Product_Table[UnitPrice],"NULL",0)</f>
        <v>452.2</v>
      </c>
      <c r="L186" t="str">
        <f>_xlfn.XLOOKUP(Sales_Table[[#This Row],[CustomerID]],Customer_Table[CustomerID],Customer_Table[CustomerName],"NULL",0)</f>
        <v>Customer_56</v>
      </c>
      <c r="M186" t="str">
        <f>INDEX(Customer_Table[Country],MATCH(Sales_Table[[#This Row],[CustomerID]],Customer_Table[CustomerID],0))</f>
        <v>United Kingdom</v>
      </c>
      <c r="N186" t="str">
        <f>INDEX(Customer_Table[Email],MATCH(Sales_Table[[#This Row],[CustomerID]],Customer_Table[CustomerID],0))</f>
        <v>customer56@email.com</v>
      </c>
    </row>
    <row r="187" spans="1:14" x14ac:dyDescent="0.3">
      <c r="A187" t="s">
        <v>335</v>
      </c>
      <c r="B187" s="1">
        <v>45458</v>
      </c>
      <c r="C187" s="1" t="str">
        <f>TEXT(Sales_Table[[#This Row],[OrderDate]],"DDDD")</f>
        <v>Saturday</v>
      </c>
      <c r="D187" s="1" t="str">
        <f>TEXT(Sales_Table[[#This Row],[OrderDate]],"MMMM")</f>
        <v>June</v>
      </c>
      <c r="E187" t="s">
        <v>95</v>
      </c>
      <c r="F187" t="s">
        <v>60</v>
      </c>
      <c r="G187">
        <v>1</v>
      </c>
      <c r="H187">
        <v>85.85</v>
      </c>
      <c r="I187" t="str">
        <f>VLOOKUP(Sales_Table[[#This Row],[ProductID]],Product_Table[],2,FALSE)</f>
        <v>Product_29</v>
      </c>
      <c r="J187" t="str">
        <f>VLOOKUP(Sales_Table[[#This Row],[ProductID]],Product_Table[],3,FALSE)</f>
        <v>Beauty</v>
      </c>
      <c r="K187">
        <f>_xlfn.XLOOKUP(Sales_Table[[#This Row],[ProductID]],Product_Table[ProductID],Product_Table[UnitPrice],"NULL",0)</f>
        <v>85.85</v>
      </c>
      <c r="L187" t="str">
        <f>_xlfn.XLOOKUP(Sales_Table[[#This Row],[CustomerID]],Customer_Table[CustomerID],Customer_Table[CustomerName],"NULL",0)</f>
        <v>Customer_31</v>
      </c>
      <c r="M187" t="str">
        <f>INDEX(Customer_Table[Country],MATCH(Sales_Table[[#This Row],[CustomerID]],Customer_Table[CustomerID],0))</f>
        <v>United Kingdom</v>
      </c>
      <c r="N187" t="str">
        <f>INDEX(Customer_Table[Email],MATCH(Sales_Table[[#This Row],[CustomerID]],Customer_Table[CustomerID],0))</f>
        <v>customer31@email.com</v>
      </c>
    </row>
    <row r="188" spans="1:14" x14ac:dyDescent="0.3">
      <c r="A188" t="s">
        <v>336</v>
      </c>
      <c r="B188" s="1">
        <v>45299</v>
      </c>
      <c r="C188" s="1" t="str">
        <f>TEXT(Sales_Table[[#This Row],[OrderDate]],"DDDD")</f>
        <v>Monday</v>
      </c>
      <c r="D188" s="1" t="str">
        <f>TEXT(Sales_Table[[#This Row],[OrderDate]],"MMMM")</f>
        <v>January</v>
      </c>
      <c r="E188" t="s">
        <v>190</v>
      </c>
      <c r="F188" t="s">
        <v>154</v>
      </c>
      <c r="G188">
        <v>1</v>
      </c>
      <c r="H188">
        <v>332.9</v>
      </c>
      <c r="I188" t="str">
        <f>VLOOKUP(Sales_Table[[#This Row],[ProductID]],Product_Table[],2,FALSE)</f>
        <v>Product_8</v>
      </c>
      <c r="J188" t="str">
        <f>VLOOKUP(Sales_Table[[#This Row],[ProductID]],Product_Table[],3,FALSE)</f>
        <v>Electronics</v>
      </c>
      <c r="K188">
        <f>_xlfn.XLOOKUP(Sales_Table[[#This Row],[ProductID]],Product_Table[ProductID],Product_Table[UnitPrice],"NULL",0)</f>
        <v>332.9</v>
      </c>
      <c r="L188" t="str">
        <f>_xlfn.XLOOKUP(Sales_Table[[#This Row],[CustomerID]],Customer_Table[CustomerID],Customer_Table[CustomerName],"NULL",0)</f>
        <v>Customer_88</v>
      </c>
      <c r="M188" t="str">
        <f>INDEX(Customer_Table[Country],MATCH(Sales_Table[[#This Row],[CustomerID]],Customer_Table[CustomerID],0))</f>
        <v>Canada</v>
      </c>
      <c r="N188" t="str">
        <f>INDEX(Customer_Table[Email],MATCH(Sales_Table[[#This Row],[CustomerID]],Customer_Table[CustomerID],0))</f>
        <v>customer88@email.com</v>
      </c>
    </row>
    <row r="189" spans="1:14" x14ac:dyDescent="0.3">
      <c r="A189" t="s">
        <v>337</v>
      </c>
      <c r="B189" s="1">
        <v>45343</v>
      </c>
      <c r="C189" s="1" t="str">
        <f>TEXT(Sales_Table[[#This Row],[OrderDate]],"DDDD")</f>
        <v>Wednesday</v>
      </c>
      <c r="D189" s="1" t="str">
        <f>TEXT(Sales_Table[[#This Row],[OrderDate]],"MMMM")</f>
        <v>February</v>
      </c>
      <c r="E189" t="s">
        <v>93</v>
      </c>
      <c r="F189" t="s">
        <v>60</v>
      </c>
      <c r="G189">
        <v>2</v>
      </c>
      <c r="H189">
        <v>171.7</v>
      </c>
      <c r="I189" t="str">
        <f>VLOOKUP(Sales_Table[[#This Row],[ProductID]],Product_Table[],2,FALSE)</f>
        <v>Product_29</v>
      </c>
      <c r="J189" t="str">
        <f>VLOOKUP(Sales_Table[[#This Row],[ProductID]],Product_Table[],3,FALSE)</f>
        <v>Beauty</v>
      </c>
      <c r="K189">
        <f>_xlfn.XLOOKUP(Sales_Table[[#This Row],[ProductID]],Product_Table[ProductID],Product_Table[UnitPrice],"NULL",0)</f>
        <v>85.85</v>
      </c>
      <c r="L189" t="str">
        <f>_xlfn.XLOOKUP(Sales_Table[[#This Row],[CustomerID]],Customer_Table[CustomerID],Customer_Table[CustomerName],"NULL",0)</f>
        <v>Customer_89</v>
      </c>
      <c r="M189" t="str">
        <f>INDEX(Customer_Table[Country],MATCH(Sales_Table[[#This Row],[CustomerID]],Customer_Table[CustomerID],0))</f>
        <v>United Kingdom</v>
      </c>
      <c r="N189" t="str">
        <f>INDEX(Customer_Table[Email],MATCH(Sales_Table[[#This Row],[CustomerID]],Customer_Table[CustomerID],0))</f>
        <v>customer89@email.com</v>
      </c>
    </row>
    <row r="190" spans="1:14" x14ac:dyDescent="0.3">
      <c r="A190" t="s">
        <v>338</v>
      </c>
      <c r="B190" s="1">
        <v>45451</v>
      </c>
      <c r="C190" s="1" t="str">
        <f>TEXT(Sales_Table[[#This Row],[OrderDate]],"DDDD")</f>
        <v>Saturday</v>
      </c>
      <c r="D190" s="1" t="str">
        <f>TEXT(Sales_Table[[#This Row],[OrderDate]],"MMMM")</f>
        <v>June</v>
      </c>
      <c r="E190" t="s">
        <v>180</v>
      </c>
      <c r="F190" t="s">
        <v>140</v>
      </c>
      <c r="G190">
        <v>1</v>
      </c>
      <c r="H190">
        <v>337.8</v>
      </c>
      <c r="I190" t="str">
        <f>VLOOKUP(Sales_Table[[#This Row],[ProductID]],Product_Table[],2,FALSE)</f>
        <v>Product_3</v>
      </c>
      <c r="J190" t="str">
        <f>VLOOKUP(Sales_Table[[#This Row],[ProductID]],Product_Table[],3,FALSE)</f>
        <v>Home</v>
      </c>
      <c r="K190">
        <f>_xlfn.XLOOKUP(Sales_Table[[#This Row],[ProductID]],Product_Table[ProductID],Product_Table[UnitPrice],"NULL",0)</f>
        <v>337.8</v>
      </c>
      <c r="L190" t="str">
        <f>_xlfn.XLOOKUP(Sales_Table[[#This Row],[CustomerID]],Customer_Table[CustomerID],Customer_Table[CustomerName],"NULL",0)</f>
        <v>Customer_111</v>
      </c>
      <c r="M190" t="str">
        <f>INDEX(Customer_Table[Country],MATCH(Sales_Table[[#This Row],[CustomerID]],Customer_Table[CustomerID],0))</f>
        <v>Canada</v>
      </c>
      <c r="N190" t="str">
        <f>INDEX(Customer_Table[Email],MATCH(Sales_Table[[#This Row],[CustomerID]],Customer_Table[CustomerID],0))</f>
        <v>customer111@email.com</v>
      </c>
    </row>
    <row r="191" spans="1:14" x14ac:dyDescent="0.3">
      <c r="A191" t="s">
        <v>339</v>
      </c>
      <c r="B191" s="1">
        <v>45353</v>
      </c>
      <c r="C191" s="1" t="str">
        <f>TEXT(Sales_Table[[#This Row],[OrderDate]],"DDDD")</f>
        <v>Saturday</v>
      </c>
      <c r="D191" s="1" t="str">
        <f>TEXT(Sales_Table[[#This Row],[OrderDate]],"MMMM")</f>
        <v>March</v>
      </c>
      <c r="E191" t="s">
        <v>119</v>
      </c>
      <c r="F191" t="s">
        <v>268</v>
      </c>
      <c r="G191">
        <v>2</v>
      </c>
      <c r="H191">
        <v>391.4</v>
      </c>
      <c r="I191" t="str">
        <f>VLOOKUP(Sales_Table[[#This Row],[ProductID]],Product_Table[],2,FALSE)</f>
        <v>Product_25</v>
      </c>
      <c r="J191" t="str">
        <f>VLOOKUP(Sales_Table[[#This Row],[ProductID]],Product_Table[],3,FALSE)</f>
        <v>Clothing</v>
      </c>
      <c r="K191">
        <f>_xlfn.XLOOKUP(Sales_Table[[#This Row],[ProductID]],Product_Table[ProductID],Product_Table[UnitPrice],"NULL",0)</f>
        <v>195.7</v>
      </c>
      <c r="L191" t="str">
        <f>_xlfn.XLOOKUP(Sales_Table[[#This Row],[CustomerID]],Customer_Table[CustomerID],Customer_Table[CustomerName],"NULL",0)</f>
        <v>Customer_59</v>
      </c>
      <c r="M191" t="str">
        <f>INDEX(Customer_Table[Country],MATCH(Sales_Table[[#This Row],[CustomerID]],Customer_Table[CustomerID],0))</f>
        <v>United Kingdom</v>
      </c>
      <c r="N191" t="str">
        <f>INDEX(Customer_Table[Email],MATCH(Sales_Table[[#This Row],[CustomerID]],Customer_Table[CustomerID],0))</f>
        <v>customer59@email.com</v>
      </c>
    </row>
    <row r="192" spans="1:14" x14ac:dyDescent="0.3">
      <c r="A192" t="s">
        <v>340</v>
      </c>
      <c r="B192" s="1">
        <v>45413</v>
      </c>
      <c r="C192" s="1" t="str">
        <f>TEXT(Sales_Table[[#This Row],[OrderDate]],"DDDD")</f>
        <v>Wednesday</v>
      </c>
      <c r="D192" s="1" t="str">
        <f>TEXT(Sales_Table[[#This Row],[OrderDate]],"MMMM")</f>
        <v>May</v>
      </c>
      <c r="E192" t="s">
        <v>54</v>
      </c>
      <c r="F192" t="s">
        <v>49</v>
      </c>
      <c r="G192">
        <v>2</v>
      </c>
      <c r="H192">
        <v>76.02</v>
      </c>
      <c r="I192" t="str">
        <f>VLOOKUP(Sales_Table[[#This Row],[ProductID]],Product_Table[],2,FALSE)</f>
        <v>Product_33</v>
      </c>
      <c r="J192" t="str">
        <f>VLOOKUP(Sales_Table[[#This Row],[ProductID]],Product_Table[],3,FALSE)</f>
        <v>Home</v>
      </c>
      <c r="K192">
        <f>_xlfn.XLOOKUP(Sales_Table[[#This Row],[ProductID]],Product_Table[ProductID],Product_Table[UnitPrice],"NULL",0)</f>
        <v>38.01</v>
      </c>
      <c r="L192" t="str">
        <f>_xlfn.XLOOKUP(Sales_Table[[#This Row],[CustomerID]],Customer_Table[CustomerID],Customer_Table[CustomerName],"NULL",0)</f>
        <v>Customer_43</v>
      </c>
      <c r="M192" t="str">
        <f>INDEX(Customer_Table[Country],MATCH(Sales_Table[[#This Row],[CustomerID]],Customer_Table[CustomerID],0))</f>
        <v>United Kingdom</v>
      </c>
      <c r="N192" t="str">
        <f>INDEX(Customer_Table[Email],MATCH(Sales_Table[[#This Row],[CustomerID]],Customer_Table[CustomerID],0))</f>
        <v>customer43@email.com</v>
      </c>
    </row>
    <row r="193" spans="1:14" x14ac:dyDescent="0.3">
      <c r="A193" t="s">
        <v>341</v>
      </c>
      <c r="B193" s="1">
        <v>45436</v>
      </c>
      <c r="C193" s="1" t="str">
        <f>TEXT(Sales_Table[[#This Row],[OrderDate]],"DDDD")</f>
        <v>Friday</v>
      </c>
      <c r="D193" s="1" t="str">
        <f>TEXT(Sales_Table[[#This Row],[OrderDate]],"MMMM")</f>
        <v>May</v>
      </c>
      <c r="E193" t="s">
        <v>342</v>
      </c>
      <c r="F193" t="s">
        <v>168</v>
      </c>
      <c r="G193">
        <v>1</v>
      </c>
      <c r="H193">
        <v>43.58</v>
      </c>
      <c r="I193" t="str">
        <f>VLOOKUP(Sales_Table[[#This Row],[ProductID]],Product_Table[],2,FALSE)</f>
        <v>Product_37</v>
      </c>
      <c r="J193" t="str">
        <f>VLOOKUP(Sales_Table[[#This Row],[ProductID]],Product_Table[],3,FALSE)</f>
        <v>Clothing</v>
      </c>
      <c r="K193">
        <f>_xlfn.XLOOKUP(Sales_Table[[#This Row],[ProductID]],Product_Table[ProductID],Product_Table[UnitPrice],"NULL",0)</f>
        <v>43.58</v>
      </c>
      <c r="L193" t="str">
        <f>_xlfn.XLOOKUP(Sales_Table[[#This Row],[CustomerID]],Customer_Table[CustomerID],Customer_Table[CustomerName],"NULL",0)</f>
        <v>Customer_68</v>
      </c>
      <c r="M193" t="str">
        <f>INDEX(Customer_Table[Country],MATCH(Sales_Table[[#This Row],[CustomerID]],Customer_Table[CustomerID],0))</f>
        <v>United Kingdom</v>
      </c>
      <c r="N193" t="str">
        <f>INDEX(Customer_Table[Email],MATCH(Sales_Table[[#This Row],[CustomerID]],Customer_Table[CustomerID],0))</f>
        <v>customer68@email.com</v>
      </c>
    </row>
    <row r="194" spans="1:14" x14ac:dyDescent="0.3">
      <c r="A194" t="s">
        <v>343</v>
      </c>
      <c r="B194" s="1">
        <v>45411</v>
      </c>
      <c r="C194" s="1" t="str">
        <f>TEXT(Sales_Table[[#This Row],[OrderDate]],"DDDD")</f>
        <v>Monday</v>
      </c>
      <c r="D194" s="1" t="str">
        <f>TEXT(Sales_Table[[#This Row],[OrderDate]],"MMMM")</f>
        <v>April</v>
      </c>
      <c r="E194" t="s">
        <v>65</v>
      </c>
      <c r="F194" t="s">
        <v>122</v>
      </c>
      <c r="G194">
        <v>2</v>
      </c>
      <c r="H194">
        <v>454.26</v>
      </c>
      <c r="I194" t="str">
        <f>VLOOKUP(Sales_Table[[#This Row],[ProductID]],Product_Table[],2,FALSE)</f>
        <v>Product_18</v>
      </c>
      <c r="J194" t="str">
        <f>VLOOKUP(Sales_Table[[#This Row],[ProductID]],Product_Table[],3,FALSE)</f>
        <v>Electronics</v>
      </c>
      <c r="K194">
        <f>_xlfn.XLOOKUP(Sales_Table[[#This Row],[ProductID]],Product_Table[ProductID],Product_Table[UnitPrice],"NULL",0)</f>
        <v>227.13</v>
      </c>
      <c r="L194" t="str">
        <f>_xlfn.XLOOKUP(Sales_Table[[#This Row],[CustomerID]],Customer_Table[CustomerID],Customer_Table[CustomerName],"NULL",0)</f>
        <v>Customer_83</v>
      </c>
      <c r="M194" t="str">
        <f>INDEX(Customer_Table[Country],MATCH(Sales_Table[[#This Row],[CustomerID]],Customer_Table[CustomerID],0))</f>
        <v>United Kingdom</v>
      </c>
      <c r="N194" t="str">
        <f>INDEX(Customer_Table[Email],MATCH(Sales_Table[[#This Row],[CustomerID]],Customer_Table[CustomerID],0))</f>
        <v>customer83@email.com</v>
      </c>
    </row>
    <row r="195" spans="1:14" x14ac:dyDescent="0.3">
      <c r="A195" t="s">
        <v>344</v>
      </c>
      <c r="B195" s="1">
        <v>45386</v>
      </c>
      <c r="C195" s="1" t="str">
        <f>TEXT(Sales_Table[[#This Row],[OrderDate]],"DDDD")</f>
        <v>Thursday</v>
      </c>
      <c r="D195" s="1" t="str">
        <f>TEXT(Sales_Table[[#This Row],[OrderDate]],"MMMM")</f>
        <v>April</v>
      </c>
      <c r="E195" t="s">
        <v>193</v>
      </c>
      <c r="F195" t="s">
        <v>63</v>
      </c>
      <c r="G195">
        <v>3</v>
      </c>
      <c r="H195">
        <v>391.95</v>
      </c>
      <c r="I195" t="str">
        <f>VLOOKUP(Sales_Table[[#This Row],[ProductID]],Product_Table[],2,FALSE)</f>
        <v>Product_40</v>
      </c>
      <c r="J195" t="str">
        <f>VLOOKUP(Sales_Table[[#This Row],[ProductID]],Product_Table[],3,FALSE)</f>
        <v>Sports</v>
      </c>
      <c r="K195">
        <f>_xlfn.XLOOKUP(Sales_Table[[#This Row],[ProductID]],Product_Table[ProductID],Product_Table[UnitPrice],"NULL",0)</f>
        <v>130.65</v>
      </c>
      <c r="L195" t="str">
        <f>_xlfn.XLOOKUP(Sales_Table[[#This Row],[CustomerID]],Customer_Table[CustomerID],Customer_Table[CustomerName],"NULL",0)</f>
        <v>Customer_87</v>
      </c>
      <c r="M195" t="str">
        <f>INDEX(Customer_Table[Country],MATCH(Sales_Table[[#This Row],[CustomerID]],Customer_Table[CustomerID],0))</f>
        <v>India</v>
      </c>
      <c r="N195" t="str">
        <f>INDEX(Customer_Table[Email],MATCH(Sales_Table[[#This Row],[CustomerID]],Customer_Table[CustomerID],0))</f>
        <v>customer87@email.com</v>
      </c>
    </row>
    <row r="196" spans="1:14" x14ac:dyDescent="0.3">
      <c r="A196" t="s">
        <v>345</v>
      </c>
      <c r="B196" s="1">
        <v>45447</v>
      </c>
      <c r="C196" s="1" t="str">
        <f>TEXT(Sales_Table[[#This Row],[OrderDate]],"DDDD")</f>
        <v>Tuesday</v>
      </c>
      <c r="D196" s="1" t="str">
        <f>TEXT(Sales_Table[[#This Row],[OrderDate]],"MMMM")</f>
        <v>June</v>
      </c>
      <c r="E196" t="s">
        <v>15</v>
      </c>
      <c r="F196" t="s">
        <v>186</v>
      </c>
      <c r="G196">
        <v>2</v>
      </c>
      <c r="H196">
        <v>435.1</v>
      </c>
      <c r="I196" t="str">
        <f>VLOOKUP(Sales_Table[[#This Row],[ProductID]],Product_Table[],2,FALSE)</f>
        <v>Product_9</v>
      </c>
      <c r="J196" t="str">
        <f>VLOOKUP(Sales_Table[[#This Row],[ProductID]],Product_Table[],3,FALSE)</f>
        <v>Home</v>
      </c>
      <c r="K196">
        <f>_xlfn.XLOOKUP(Sales_Table[[#This Row],[ProductID]],Product_Table[ProductID],Product_Table[UnitPrice],"NULL",0)</f>
        <v>217.55</v>
      </c>
      <c r="L196" t="str">
        <f>_xlfn.XLOOKUP(Sales_Table[[#This Row],[CustomerID]],Customer_Table[CustomerID],Customer_Table[CustomerName],"NULL",0)</f>
        <v>Customer_115</v>
      </c>
      <c r="M196" t="str">
        <f>INDEX(Customer_Table[Country],MATCH(Sales_Table[[#This Row],[CustomerID]],Customer_Table[CustomerID],0))</f>
        <v>Canada</v>
      </c>
      <c r="N196" t="str">
        <f>INDEX(Customer_Table[Email],MATCH(Sales_Table[[#This Row],[CustomerID]],Customer_Table[CustomerID],0))</f>
        <v>customer115@email.com</v>
      </c>
    </row>
    <row r="197" spans="1:14" x14ac:dyDescent="0.3">
      <c r="A197" t="s">
        <v>346</v>
      </c>
      <c r="B197" s="1">
        <v>45321</v>
      </c>
      <c r="C197" s="1" t="str">
        <f>TEXT(Sales_Table[[#This Row],[OrderDate]],"DDDD")</f>
        <v>Tuesday</v>
      </c>
      <c r="D197" s="1" t="str">
        <f>TEXT(Sales_Table[[#This Row],[OrderDate]],"MMMM")</f>
        <v>January</v>
      </c>
      <c r="E197" t="s">
        <v>143</v>
      </c>
      <c r="F197" t="s">
        <v>46</v>
      </c>
      <c r="G197">
        <v>5</v>
      </c>
      <c r="H197">
        <v>1671.6</v>
      </c>
      <c r="I197" t="str">
        <f>VLOOKUP(Sales_Table[[#This Row],[ProductID]],Product_Table[],2,FALSE)</f>
        <v>Product_28</v>
      </c>
      <c r="J197" t="str">
        <f>VLOOKUP(Sales_Table[[#This Row],[ProductID]],Product_Table[],3,FALSE)</f>
        <v>Sports</v>
      </c>
      <c r="K197">
        <f>_xlfn.XLOOKUP(Sales_Table[[#This Row],[ProductID]],Product_Table[ProductID],Product_Table[UnitPrice],"NULL",0)</f>
        <v>334.32</v>
      </c>
      <c r="L197" t="str">
        <f>_xlfn.XLOOKUP(Sales_Table[[#This Row],[CustomerID]],Customer_Table[CustomerID],Customer_Table[CustomerName],"NULL",0)</f>
        <v>Customer_5</v>
      </c>
      <c r="M197" t="str">
        <f>INDEX(Customer_Table[Country],MATCH(Sales_Table[[#This Row],[CustomerID]],Customer_Table[CustomerID],0))</f>
        <v>India</v>
      </c>
      <c r="N197" t="str">
        <f>INDEX(Customer_Table[Email],MATCH(Sales_Table[[#This Row],[CustomerID]],Customer_Table[CustomerID],0))</f>
        <v>customer5@email.com</v>
      </c>
    </row>
    <row r="198" spans="1:14" x14ac:dyDescent="0.3">
      <c r="A198" t="s">
        <v>347</v>
      </c>
      <c r="B198" s="1">
        <v>45371</v>
      </c>
      <c r="C198" s="1" t="str">
        <f>TEXT(Sales_Table[[#This Row],[OrderDate]],"DDDD")</f>
        <v>Wednesday</v>
      </c>
      <c r="D198" s="1" t="str">
        <f>TEXT(Sales_Table[[#This Row],[OrderDate]],"MMMM")</f>
        <v>March</v>
      </c>
      <c r="E198" t="s">
        <v>91</v>
      </c>
      <c r="F198" t="s">
        <v>268</v>
      </c>
      <c r="G198">
        <v>2</v>
      </c>
      <c r="H198">
        <v>391.4</v>
      </c>
      <c r="I198" t="str">
        <f>VLOOKUP(Sales_Table[[#This Row],[ProductID]],Product_Table[],2,FALSE)</f>
        <v>Product_25</v>
      </c>
      <c r="J198" t="str">
        <f>VLOOKUP(Sales_Table[[#This Row],[ProductID]],Product_Table[],3,FALSE)</f>
        <v>Clothing</v>
      </c>
      <c r="K198">
        <f>_xlfn.XLOOKUP(Sales_Table[[#This Row],[ProductID]],Product_Table[ProductID],Product_Table[UnitPrice],"NULL",0)</f>
        <v>195.7</v>
      </c>
      <c r="L198" t="str">
        <f>_xlfn.XLOOKUP(Sales_Table[[#This Row],[CustomerID]],Customer_Table[CustomerID],Customer_Table[CustomerName],"NULL",0)</f>
        <v>Customer_82</v>
      </c>
      <c r="M198" t="str">
        <f>INDEX(Customer_Table[Country],MATCH(Sales_Table[[#This Row],[CustomerID]],Customer_Table[CustomerID],0))</f>
        <v>United Kingdom</v>
      </c>
      <c r="N198" t="str">
        <f>INDEX(Customer_Table[Email],MATCH(Sales_Table[[#This Row],[CustomerID]],Customer_Table[CustomerID],0))</f>
        <v>customer82@email.com</v>
      </c>
    </row>
    <row r="199" spans="1:14" x14ac:dyDescent="0.3">
      <c r="A199" t="s">
        <v>348</v>
      </c>
      <c r="B199" s="1">
        <v>45440</v>
      </c>
      <c r="C199" s="1" t="str">
        <f>TEXT(Sales_Table[[#This Row],[OrderDate]],"DDDD")</f>
        <v>Tuesday</v>
      </c>
      <c r="D199" s="1" t="str">
        <f>TEXT(Sales_Table[[#This Row],[OrderDate]],"MMMM")</f>
        <v>May</v>
      </c>
      <c r="E199" t="s">
        <v>143</v>
      </c>
      <c r="F199" t="s">
        <v>137</v>
      </c>
      <c r="G199">
        <v>1</v>
      </c>
      <c r="H199">
        <v>116.67</v>
      </c>
      <c r="I199" t="str">
        <f>VLOOKUP(Sales_Table[[#This Row],[ProductID]],Product_Table[],2,FALSE)</f>
        <v>Product_30</v>
      </c>
      <c r="J199" t="str">
        <f>VLOOKUP(Sales_Table[[#This Row],[ProductID]],Product_Table[],3,FALSE)</f>
        <v>Home</v>
      </c>
      <c r="K199">
        <f>_xlfn.XLOOKUP(Sales_Table[[#This Row],[ProductID]],Product_Table[ProductID],Product_Table[UnitPrice],"NULL",0)</f>
        <v>116.67</v>
      </c>
      <c r="L199" t="str">
        <f>_xlfn.XLOOKUP(Sales_Table[[#This Row],[CustomerID]],Customer_Table[CustomerID],Customer_Table[CustomerName],"NULL",0)</f>
        <v>Customer_5</v>
      </c>
      <c r="M199" t="str">
        <f>INDEX(Customer_Table[Country],MATCH(Sales_Table[[#This Row],[CustomerID]],Customer_Table[CustomerID],0))</f>
        <v>India</v>
      </c>
      <c r="N199" t="str">
        <f>INDEX(Customer_Table[Email],MATCH(Sales_Table[[#This Row],[CustomerID]],Customer_Table[CustomerID],0))</f>
        <v>customer5@email.com</v>
      </c>
    </row>
    <row r="200" spans="1:14" x14ac:dyDescent="0.3">
      <c r="A200" t="s">
        <v>349</v>
      </c>
      <c r="B200" s="1">
        <v>45371</v>
      </c>
      <c r="C200" s="1" t="str">
        <f>TEXT(Sales_Table[[#This Row],[OrderDate]],"DDDD")</f>
        <v>Wednesday</v>
      </c>
      <c r="D200" s="1" t="str">
        <f>TEXT(Sales_Table[[#This Row],[OrderDate]],"MMMM")</f>
        <v>March</v>
      </c>
      <c r="E200" t="s">
        <v>115</v>
      </c>
      <c r="F200" t="s">
        <v>268</v>
      </c>
      <c r="G200">
        <v>1</v>
      </c>
      <c r="H200">
        <v>195.7</v>
      </c>
      <c r="I200" t="str">
        <f>VLOOKUP(Sales_Table[[#This Row],[ProductID]],Product_Table[],2,FALSE)</f>
        <v>Product_25</v>
      </c>
      <c r="J200" t="str">
        <f>VLOOKUP(Sales_Table[[#This Row],[ProductID]],Product_Table[],3,FALSE)</f>
        <v>Clothing</v>
      </c>
      <c r="K200">
        <f>_xlfn.XLOOKUP(Sales_Table[[#This Row],[ProductID]],Product_Table[ProductID],Product_Table[UnitPrice],"NULL",0)</f>
        <v>195.7</v>
      </c>
      <c r="L200" t="str">
        <f>_xlfn.XLOOKUP(Sales_Table[[#This Row],[CustomerID]],Customer_Table[CustomerID],Customer_Table[CustomerName],"NULL",0)</f>
        <v>Customer_86</v>
      </c>
      <c r="M200" t="str">
        <f>INDEX(Customer_Table[Country],MATCH(Sales_Table[[#This Row],[CustomerID]],Customer_Table[CustomerID],0))</f>
        <v>India</v>
      </c>
      <c r="N200" t="str">
        <f>INDEX(Customer_Table[Email],MATCH(Sales_Table[[#This Row],[CustomerID]],Customer_Table[CustomerID],0))</f>
        <v>customer86@email.com</v>
      </c>
    </row>
    <row r="201" spans="1:14" x14ac:dyDescent="0.3">
      <c r="A201" t="s">
        <v>350</v>
      </c>
      <c r="B201" s="1">
        <v>45465</v>
      </c>
      <c r="C201" s="1" t="str">
        <f>TEXT(Sales_Table[[#This Row],[OrderDate]],"DDDD")</f>
        <v>Saturday</v>
      </c>
      <c r="D201" s="1" t="str">
        <f>TEXT(Sales_Table[[#This Row],[OrderDate]],"MMMM")</f>
        <v>June</v>
      </c>
      <c r="E201" t="s">
        <v>196</v>
      </c>
      <c r="F201" t="s">
        <v>122</v>
      </c>
      <c r="G201">
        <v>5</v>
      </c>
      <c r="H201">
        <v>1135.6500000000001</v>
      </c>
      <c r="I201" t="str">
        <f>VLOOKUP(Sales_Table[[#This Row],[ProductID]],Product_Table[],2,FALSE)</f>
        <v>Product_18</v>
      </c>
      <c r="J201" t="str">
        <f>VLOOKUP(Sales_Table[[#This Row],[ProductID]],Product_Table[],3,FALSE)</f>
        <v>Electronics</v>
      </c>
      <c r="K201">
        <f>_xlfn.XLOOKUP(Sales_Table[[#This Row],[ProductID]],Product_Table[ProductID],Product_Table[UnitPrice],"NULL",0)</f>
        <v>227.13</v>
      </c>
      <c r="L201" t="str">
        <f>_xlfn.XLOOKUP(Sales_Table[[#This Row],[CustomerID]],Customer_Table[CustomerID],Customer_Table[CustomerName],"NULL",0)</f>
        <v>Customer_94</v>
      </c>
      <c r="M201" t="str">
        <f>INDEX(Customer_Table[Country],MATCH(Sales_Table[[#This Row],[CustomerID]],Customer_Table[CustomerID],0))</f>
        <v>United Kingdom</v>
      </c>
      <c r="N201" t="str">
        <f>INDEX(Customer_Table[Email],MATCH(Sales_Table[[#This Row],[CustomerID]],Customer_Table[CustomerID],0))</f>
        <v>customer94@email.com</v>
      </c>
    </row>
    <row r="202" spans="1:14" x14ac:dyDescent="0.3">
      <c r="A202" t="s">
        <v>351</v>
      </c>
      <c r="B202" s="1">
        <v>45393</v>
      </c>
      <c r="C202" s="1" t="str">
        <f>TEXT(Sales_Table[[#This Row],[OrderDate]],"DDDD")</f>
        <v>Thursday</v>
      </c>
      <c r="D202" s="1" t="str">
        <f>TEXT(Sales_Table[[#This Row],[OrderDate]],"MMMM")</f>
        <v>April</v>
      </c>
      <c r="E202" t="s">
        <v>331</v>
      </c>
      <c r="F202" t="s">
        <v>57</v>
      </c>
      <c r="G202">
        <v>4</v>
      </c>
      <c r="H202">
        <v>1175.2</v>
      </c>
      <c r="I202" t="str">
        <f>VLOOKUP(Sales_Table[[#This Row],[ProductID]],Product_Table[],2,FALSE)</f>
        <v>Product_31</v>
      </c>
      <c r="J202" t="str">
        <f>VLOOKUP(Sales_Table[[#This Row],[ProductID]],Product_Table[],3,FALSE)</f>
        <v>Electronics</v>
      </c>
      <c r="K202">
        <f>_xlfn.XLOOKUP(Sales_Table[[#This Row],[ProductID]],Product_Table[ProductID],Product_Table[UnitPrice],"NULL",0)</f>
        <v>293.8</v>
      </c>
      <c r="L202" t="str">
        <f>_xlfn.XLOOKUP(Sales_Table[[#This Row],[CustomerID]],Customer_Table[CustomerID],Customer_Table[CustomerName],"NULL",0)</f>
        <v>Customer_22</v>
      </c>
      <c r="M202" t="str">
        <f>INDEX(Customer_Table[Country],MATCH(Sales_Table[[#This Row],[CustomerID]],Customer_Table[CustomerID],0))</f>
        <v>United States</v>
      </c>
      <c r="N202" t="str">
        <f>INDEX(Customer_Table[Email],MATCH(Sales_Table[[#This Row],[CustomerID]],Customer_Table[CustomerID],0))</f>
        <v>customer22@email.com</v>
      </c>
    </row>
    <row r="203" spans="1:14" x14ac:dyDescent="0.3">
      <c r="A203" t="s">
        <v>352</v>
      </c>
      <c r="B203" s="1">
        <v>45311</v>
      </c>
      <c r="C203" s="1" t="str">
        <f>TEXT(Sales_Table[[#This Row],[OrderDate]],"DDDD")</f>
        <v>Saturday</v>
      </c>
      <c r="D203" s="1" t="str">
        <f>TEXT(Sales_Table[[#This Row],[OrderDate]],"MMMM")</f>
        <v>January</v>
      </c>
      <c r="E203" t="s">
        <v>222</v>
      </c>
      <c r="F203" t="s">
        <v>116</v>
      </c>
      <c r="G203">
        <v>2</v>
      </c>
      <c r="H203">
        <v>98.5</v>
      </c>
      <c r="I203" t="str">
        <f>VLOOKUP(Sales_Table[[#This Row],[ProductID]],Product_Table[],2,FALSE)</f>
        <v>Product_36</v>
      </c>
      <c r="J203" t="str">
        <f>VLOOKUP(Sales_Table[[#This Row],[ProductID]],Product_Table[],3,FALSE)</f>
        <v>Sports</v>
      </c>
      <c r="K203">
        <f>_xlfn.XLOOKUP(Sales_Table[[#This Row],[ProductID]],Product_Table[ProductID],Product_Table[UnitPrice],"NULL",0)</f>
        <v>49.25</v>
      </c>
      <c r="L203" t="str">
        <f>_xlfn.XLOOKUP(Sales_Table[[#This Row],[CustomerID]],Customer_Table[CustomerID],Customer_Table[CustomerName],"NULL",0)</f>
        <v>Customer_46</v>
      </c>
      <c r="M203" t="str">
        <f>INDEX(Customer_Table[Country],MATCH(Sales_Table[[#This Row],[CustomerID]],Customer_Table[CustomerID],0))</f>
        <v>United Kingdom</v>
      </c>
      <c r="N203" t="str">
        <f>INDEX(Customer_Table[Email],MATCH(Sales_Table[[#This Row],[CustomerID]],Customer_Table[CustomerID],0))</f>
        <v>customer46@email.com</v>
      </c>
    </row>
    <row r="204" spans="1:14" x14ac:dyDescent="0.3">
      <c r="A204" t="s">
        <v>353</v>
      </c>
      <c r="B204" s="1">
        <v>45468</v>
      </c>
      <c r="C204" s="1" t="str">
        <f>TEXT(Sales_Table[[#This Row],[OrderDate]],"DDDD")</f>
        <v>Tuesday</v>
      </c>
      <c r="D204" s="1" t="str">
        <f>TEXT(Sales_Table[[#This Row],[OrderDate]],"MMMM")</f>
        <v>June</v>
      </c>
      <c r="E204" t="s">
        <v>354</v>
      </c>
      <c r="F204" t="s">
        <v>36</v>
      </c>
      <c r="G204">
        <v>5</v>
      </c>
      <c r="H204">
        <v>2261</v>
      </c>
      <c r="I204" t="str">
        <f>VLOOKUP(Sales_Table[[#This Row],[ProductID]],Product_Table[],2,FALSE)</f>
        <v>Product_24</v>
      </c>
      <c r="J204" t="str">
        <f>VLOOKUP(Sales_Table[[#This Row],[ProductID]],Product_Table[],3,FALSE)</f>
        <v>Beauty</v>
      </c>
      <c r="K204">
        <f>_xlfn.XLOOKUP(Sales_Table[[#This Row],[ProductID]],Product_Table[ProductID],Product_Table[UnitPrice],"NULL",0)</f>
        <v>452.2</v>
      </c>
      <c r="L204" t="str">
        <f>_xlfn.XLOOKUP(Sales_Table[[#This Row],[CustomerID]],Customer_Table[CustomerID],Customer_Table[CustomerName],"NULL",0)</f>
        <v>Customer_24</v>
      </c>
      <c r="M204" t="str">
        <f>INDEX(Customer_Table[Country],MATCH(Sales_Table[[#This Row],[CustomerID]],Customer_Table[CustomerID],0))</f>
        <v>Canada</v>
      </c>
      <c r="N204" t="str">
        <f>INDEX(Customer_Table[Email],MATCH(Sales_Table[[#This Row],[CustomerID]],Customer_Table[CustomerID],0))</f>
        <v>customer24@email.com</v>
      </c>
    </row>
    <row r="205" spans="1:14" x14ac:dyDescent="0.3">
      <c r="A205" t="s">
        <v>355</v>
      </c>
      <c r="B205" s="1">
        <v>45318</v>
      </c>
      <c r="C205" s="1" t="str">
        <f>TEXT(Sales_Table[[#This Row],[OrderDate]],"DDDD")</f>
        <v>Saturday</v>
      </c>
      <c r="D205" s="1" t="str">
        <f>TEXT(Sales_Table[[#This Row],[OrderDate]],"MMMM")</f>
        <v>January</v>
      </c>
      <c r="E205" t="s">
        <v>18</v>
      </c>
      <c r="F205" t="s">
        <v>268</v>
      </c>
      <c r="G205">
        <v>2</v>
      </c>
      <c r="H205">
        <v>391.4</v>
      </c>
      <c r="I205" t="str">
        <f>VLOOKUP(Sales_Table[[#This Row],[ProductID]],Product_Table[],2,FALSE)</f>
        <v>Product_25</v>
      </c>
      <c r="J205" t="str">
        <f>VLOOKUP(Sales_Table[[#This Row],[ProductID]],Product_Table[],3,FALSE)</f>
        <v>Clothing</v>
      </c>
      <c r="K205">
        <f>_xlfn.XLOOKUP(Sales_Table[[#This Row],[ProductID]],Product_Table[ProductID],Product_Table[UnitPrice],"NULL",0)</f>
        <v>195.7</v>
      </c>
      <c r="L205" t="str">
        <f>_xlfn.XLOOKUP(Sales_Table[[#This Row],[CustomerID]],Customer_Table[CustomerID],Customer_Table[CustomerName],"NULL",0)</f>
        <v>Customer_77</v>
      </c>
      <c r="M205" t="str">
        <f>INDEX(Customer_Table[Country],MATCH(Sales_Table[[#This Row],[CustomerID]],Customer_Table[CustomerID],0))</f>
        <v>India</v>
      </c>
      <c r="N205" t="str">
        <f>INDEX(Customer_Table[Email],MATCH(Sales_Table[[#This Row],[CustomerID]],Customer_Table[CustomerID],0))</f>
        <v>customer77@email.com</v>
      </c>
    </row>
    <row r="206" spans="1:14" x14ac:dyDescent="0.3">
      <c r="A206" t="s">
        <v>356</v>
      </c>
      <c r="B206" s="1">
        <v>45467</v>
      </c>
      <c r="C206" s="1" t="str">
        <f>TEXT(Sales_Table[[#This Row],[OrderDate]],"DDDD")</f>
        <v>Monday</v>
      </c>
      <c r="D206" s="1" t="str">
        <f>TEXT(Sales_Table[[#This Row],[OrderDate]],"MMMM")</f>
        <v>June</v>
      </c>
      <c r="E206" t="s">
        <v>251</v>
      </c>
      <c r="F206" t="s">
        <v>31</v>
      </c>
      <c r="G206">
        <v>3</v>
      </c>
      <c r="H206">
        <v>309.89999999999998</v>
      </c>
      <c r="I206" t="str">
        <f>VLOOKUP(Sales_Table[[#This Row],[ProductID]],Product_Table[],2,FALSE)</f>
        <v>Product_7</v>
      </c>
      <c r="J206" t="str">
        <f>VLOOKUP(Sales_Table[[#This Row],[ProductID]],Product_Table[],3,FALSE)</f>
        <v>Beauty</v>
      </c>
      <c r="K206">
        <f>_xlfn.XLOOKUP(Sales_Table[[#This Row],[ProductID]],Product_Table[ProductID],Product_Table[UnitPrice],"NULL",0)</f>
        <v>103.3</v>
      </c>
      <c r="L206" t="str">
        <f>_xlfn.XLOOKUP(Sales_Table[[#This Row],[CustomerID]],Customer_Table[CustomerID],Customer_Table[CustomerName],"NULL",0)</f>
        <v>Customer_29</v>
      </c>
      <c r="M206" t="str">
        <f>INDEX(Customer_Table[Country],MATCH(Sales_Table[[#This Row],[CustomerID]],Customer_Table[CustomerID],0))</f>
        <v>India</v>
      </c>
      <c r="N206" t="str">
        <f>INDEX(Customer_Table[Email],MATCH(Sales_Table[[#This Row],[CustomerID]],Customer_Table[CustomerID],0))</f>
        <v>customer29@email.com</v>
      </c>
    </row>
    <row r="207" spans="1:14" x14ac:dyDescent="0.3">
      <c r="A207" t="s">
        <v>357</v>
      </c>
      <c r="B207" s="1">
        <v>45322</v>
      </c>
      <c r="C207" s="1" t="str">
        <f>TEXT(Sales_Table[[#This Row],[OrderDate]],"DDDD")</f>
        <v>Wednesday</v>
      </c>
      <c r="D207" s="1" t="str">
        <f>TEXT(Sales_Table[[#This Row],[OrderDate]],"MMMM")</f>
        <v>January</v>
      </c>
      <c r="E207" t="s">
        <v>59</v>
      </c>
      <c r="F207" t="s">
        <v>106</v>
      </c>
      <c r="G207">
        <v>5</v>
      </c>
      <c r="H207">
        <v>659.2</v>
      </c>
      <c r="I207" t="str">
        <f>VLOOKUP(Sales_Table[[#This Row],[ProductID]],Product_Table[],2,FALSE)</f>
        <v>Product_14</v>
      </c>
      <c r="J207" t="str">
        <f>VLOOKUP(Sales_Table[[#This Row],[ProductID]],Product_Table[],3,FALSE)</f>
        <v>Electronics</v>
      </c>
      <c r="K207">
        <f>_xlfn.XLOOKUP(Sales_Table[[#This Row],[ProductID]],Product_Table[ProductID],Product_Table[UnitPrice],"NULL",0)</f>
        <v>131.84</v>
      </c>
      <c r="L207" t="str">
        <f>_xlfn.XLOOKUP(Sales_Table[[#This Row],[CustomerID]],Customer_Table[CustomerID],Customer_Table[CustomerName],"NULL",0)</f>
        <v>Customer_80</v>
      </c>
      <c r="M207" t="str">
        <f>INDEX(Customer_Table[Country],MATCH(Sales_Table[[#This Row],[CustomerID]],Customer_Table[CustomerID],0))</f>
        <v>United States</v>
      </c>
      <c r="N207" t="str">
        <f>INDEX(Customer_Table[Email],MATCH(Sales_Table[[#This Row],[CustomerID]],Customer_Table[CustomerID],0))</f>
        <v>customer80@email.com</v>
      </c>
    </row>
    <row r="208" spans="1:14" x14ac:dyDescent="0.3">
      <c r="A208" t="s">
        <v>358</v>
      </c>
      <c r="B208" s="1">
        <v>45302</v>
      </c>
      <c r="C208" s="1" t="str">
        <f>TEXT(Sales_Table[[#This Row],[OrderDate]],"DDDD")</f>
        <v>Thursday</v>
      </c>
      <c r="D208" s="1" t="str">
        <f>TEXT(Sales_Table[[#This Row],[OrderDate]],"MMMM")</f>
        <v>January</v>
      </c>
      <c r="E208" t="s">
        <v>272</v>
      </c>
      <c r="F208" t="s">
        <v>60</v>
      </c>
      <c r="G208">
        <v>5</v>
      </c>
      <c r="H208">
        <v>429.25</v>
      </c>
      <c r="I208" t="str">
        <f>VLOOKUP(Sales_Table[[#This Row],[ProductID]],Product_Table[],2,FALSE)</f>
        <v>Product_29</v>
      </c>
      <c r="J208" t="str">
        <f>VLOOKUP(Sales_Table[[#This Row],[ProductID]],Product_Table[],3,FALSE)</f>
        <v>Beauty</v>
      </c>
      <c r="K208">
        <f>_xlfn.XLOOKUP(Sales_Table[[#This Row],[ProductID]],Product_Table[ProductID],Product_Table[UnitPrice],"NULL",0)</f>
        <v>85.85</v>
      </c>
      <c r="L208" t="str">
        <f>_xlfn.XLOOKUP(Sales_Table[[#This Row],[CustomerID]],Customer_Table[CustomerID],Customer_Table[CustomerName],"NULL",0)</f>
        <v>Customer_67</v>
      </c>
      <c r="M208" t="str">
        <f>INDEX(Customer_Table[Country],MATCH(Sales_Table[[#This Row],[CustomerID]],Customer_Table[CustomerID],0))</f>
        <v>Canada</v>
      </c>
      <c r="N208" t="str">
        <f>INDEX(Customer_Table[Email],MATCH(Sales_Table[[#This Row],[CustomerID]],Customer_Table[CustomerID],0))</f>
        <v>customer67@email.com</v>
      </c>
    </row>
    <row r="209" spans="1:14" x14ac:dyDescent="0.3">
      <c r="A209" t="s">
        <v>359</v>
      </c>
      <c r="B209" s="1">
        <v>45428</v>
      </c>
      <c r="C209" s="1" t="str">
        <f>TEXT(Sales_Table[[#This Row],[OrderDate]],"DDDD")</f>
        <v>Thursday</v>
      </c>
      <c r="D209" s="1" t="str">
        <f>TEXT(Sales_Table[[#This Row],[OrderDate]],"MMMM")</f>
        <v>May</v>
      </c>
      <c r="E209" t="s">
        <v>134</v>
      </c>
      <c r="F209" t="s">
        <v>154</v>
      </c>
      <c r="G209">
        <v>3</v>
      </c>
      <c r="H209">
        <v>998.7</v>
      </c>
      <c r="I209" t="str">
        <f>VLOOKUP(Sales_Table[[#This Row],[ProductID]],Product_Table[],2,FALSE)</f>
        <v>Product_8</v>
      </c>
      <c r="J209" t="str">
        <f>VLOOKUP(Sales_Table[[#This Row],[ProductID]],Product_Table[],3,FALSE)</f>
        <v>Electronics</v>
      </c>
      <c r="K209">
        <f>_xlfn.XLOOKUP(Sales_Table[[#This Row],[ProductID]],Product_Table[ProductID],Product_Table[UnitPrice],"NULL",0)</f>
        <v>332.9</v>
      </c>
      <c r="L209" t="str">
        <f>_xlfn.XLOOKUP(Sales_Table[[#This Row],[CustomerID]],Customer_Table[CustomerID],Customer_Table[CustomerName],"NULL",0)</f>
        <v>Customer_42</v>
      </c>
      <c r="M209" t="str">
        <f>INDEX(Customer_Table[Country],MATCH(Sales_Table[[#This Row],[CustomerID]],Customer_Table[CustomerID],0))</f>
        <v>India</v>
      </c>
      <c r="N209" t="str">
        <f>INDEX(Customer_Table[Email],MATCH(Sales_Table[[#This Row],[CustomerID]],Customer_Table[CustomerID],0))</f>
        <v>customer42@email.com</v>
      </c>
    </row>
    <row r="210" spans="1:14" x14ac:dyDescent="0.3">
      <c r="A210" t="s">
        <v>360</v>
      </c>
      <c r="B210" s="1">
        <v>45461</v>
      </c>
      <c r="C210" s="1" t="str">
        <f>TEXT(Sales_Table[[#This Row],[OrderDate]],"DDDD")</f>
        <v>Tuesday</v>
      </c>
      <c r="D210" s="1" t="str">
        <f>TEXT(Sales_Table[[#This Row],[OrderDate]],"MMMM")</f>
        <v>June</v>
      </c>
      <c r="E210" t="s">
        <v>62</v>
      </c>
      <c r="F210" t="s">
        <v>239</v>
      </c>
      <c r="G210">
        <v>4</v>
      </c>
      <c r="H210">
        <v>974.52</v>
      </c>
      <c r="I210" t="str">
        <f>VLOOKUP(Sales_Table[[#This Row],[ProductID]],Product_Table[],2,FALSE)</f>
        <v>Product_34</v>
      </c>
      <c r="J210" t="str">
        <f>VLOOKUP(Sales_Table[[#This Row],[ProductID]],Product_Table[],3,FALSE)</f>
        <v>Sports</v>
      </c>
      <c r="K210">
        <f>_xlfn.XLOOKUP(Sales_Table[[#This Row],[ProductID]],Product_Table[ProductID],Product_Table[UnitPrice],"NULL",0)</f>
        <v>243.63</v>
      </c>
      <c r="L210" t="str">
        <f>_xlfn.XLOOKUP(Sales_Table[[#This Row],[CustomerID]],Customer_Table[CustomerID],Customer_Table[CustomerName],"NULL",0)</f>
        <v>Customer_71</v>
      </c>
      <c r="M210" t="str">
        <f>INDEX(Customer_Table[Country],MATCH(Sales_Table[[#This Row],[CustomerID]],Customer_Table[CustomerID],0))</f>
        <v>India</v>
      </c>
      <c r="N210" t="str">
        <f>INDEX(Customer_Table[Email],MATCH(Sales_Table[[#This Row],[CustomerID]],Customer_Table[CustomerID],0))</f>
        <v>customer71@email.com</v>
      </c>
    </row>
    <row r="211" spans="1:14" x14ac:dyDescent="0.3">
      <c r="A211" t="s">
        <v>361</v>
      </c>
      <c r="B211" s="1">
        <v>45309</v>
      </c>
      <c r="C211" s="1" t="str">
        <f>TEXT(Sales_Table[[#This Row],[OrderDate]],"DDDD")</f>
        <v>Thursday</v>
      </c>
      <c r="D211" s="1" t="str">
        <f>TEXT(Sales_Table[[#This Row],[OrderDate]],"MMMM")</f>
        <v>January</v>
      </c>
      <c r="E211" t="s">
        <v>206</v>
      </c>
      <c r="F211" t="s">
        <v>122</v>
      </c>
      <c r="G211">
        <v>3</v>
      </c>
      <c r="H211">
        <v>681.39</v>
      </c>
      <c r="I211" t="str">
        <f>VLOOKUP(Sales_Table[[#This Row],[ProductID]],Product_Table[],2,FALSE)</f>
        <v>Product_18</v>
      </c>
      <c r="J211" t="str">
        <f>VLOOKUP(Sales_Table[[#This Row],[ProductID]],Product_Table[],3,FALSE)</f>
        <v>Electronics</v>
      </c>
      <c r="K211">
        <f>_xlfn.XLOOKUP(Sales_Table[[#This Row],[ProductID]],Product_Table[ProductID],Product_Table[UnitPrice],"NULL",0)</f>
        <v>227.13</v>
      </c>
      <c r="L211" t="str">
        <f>_xlfn.XLOOKUP(Sales_Table[[#This Row],[CustomerID]],Customer_Table[CustomerID],Customer_Table[CustomerName],"NULL",0)</f>
        <v>Customer_69</v>
      </c>
      <c r="M211" t="str">
        <f>INDEX(Customer_Table[Country],MATCH(Sales_Table[[#This Row],[CustomerID]],Customer_Table[CustomerID],0))</f>
        <v>United Kingdom</v>
      </c>
      <c r="N211" t="str">
        <f>INDEX(Customer_Table[Email],MATCH(Sales_Table[[#This Row],[CustomerID]],Customer_Table[CustomerID],0))</f>
        <v>customer69@email.com</v>
      </c>
    </row>
    <row r="212" spans="1:14" x14ac:dyDescent="0.3">
      <c r="A212" t="s">
        <v>362</v>
      </c>
      <c r="B212" s="1">
        <v>45457</v>
      </c>
      <c r="C212" s="1" t="str">
        <f>TEXT(Sales_Table[[#This Row],[OrderDate]],"DDDD")</f>
        <v>Friday</v>
      </c>
      <c r="D212" s="1" t="str">
        <f>TEXT(Sales_Table[[#This Row],[OrderDate]],"MMMM")</f>
        <v>June</v>
      </c>
      <c r="E212" t="s">
        <v>303</v>
      </c>
      <c r="F212" t="s">
        <v>80</v>
      </c>
      <c r="G212">
        <v>5</v>
      </c>
      <c r="H212">
        <v>1083.5999999999999</v>
      </c>
      <c r="I212" t="str">
        <f>VLOOKUP(Sales_Table[[#This Row],[ProductID]],Product_Table[],2,FALSE)</f>
        <v>Product_16</v>
      </c>
      <c r="J212" t="str">
        <f>VLOOKUP(Sales_Table[[#This Row],[ProductID]],Product_Table[],3,FALSE)</f>
        <v>Clothing</v>
      </c>
      <c r="K212">
        <f>_xlfn.XLOOKUP(Sales_Table[[#This Row],[ProductID]],Product_Table[ProductID],Product_Table[UnitPrice],"NULL",0)</f>
        <v>216.72</v>
      </c>
      <c r="L212" t="str">
        <f>_xlfn.XLOOKUP(Sales_Table[[#This Row],[CustomerID]],Customer_Table[CustomerID],Customer_Table[CustomerName],"NULL",0)</f>
        <v>Customer_16</v>
      </c>
      <c r="M212" t="str">
        <f>INDEX(Customer_Table[Country],MATCH(Sales_Table[[#This Row],[CustomerID]],Customer_Table[CustomerID],0))</f>
        <v>United States</v>
      </c>
      <c r="N212" t="str">
        <f>INDEX(Customer_Table[Email],MATCH(Sales_Table[[#This Row],[CustomerID]],Customer_Table[CustomerID],0))</f>
        <v>customer16@email.com</v>
      </c>
    </row>
    <row r="213" spans="1:14" x14ac:dyDescent="0.3">
      <c r="A213" t="s">
        <v>363</v>
      </c>
      <c r="B213" s="1">
        <v>45295</v>
      </c>
      <c r="C213" s="1" t="str">
        <f>TEXT(Sales_Table[[#This Row],[OrderDate]],"DDDD")</f>
        <v>Thursday</v>
      </c>
      <c r="D213" s="1" t="str">
        <f>TEXT(Sales_Table[[#This Row],[OrderDate]],"MMMM")</f>
        <v>January</v>
      </c>
      <c r="E213" t="s">
        <v>210</v>
      </c>
      <c r="F213" t="s">
        <v>89</v>
      </c>
      <c r="G213">
        <v>3</v>
      </c>
      <c r="H213">
        <v>1299.8399999999999</v>
      </c>
      <c r="I213" t="str">
        <f>VLOOKUP(Sales_Table[[#This Row],[ProductID]],Product_Table[],2,FALSE)</f>
        <v>Product_10</v>
      </c>
      <c r="J213" t="str">
        <f>VLOOKUP(Sales_Table[[#This Row],[ProductID]],Product_Table[],3,FALSE)</f>
        <v>Beauty</v>
      </c>
      <c r="K213">
        <f>_xlfn.XLOOKUP(Sales_Table[[#This Row],[ProductID]],Product_Table[ProductID],Product_Table[UnitPrice],"NULL",0)</f>
        <v>433.28</v>
      </c>
      <c r="L213" t="str">
        <f>_xlfn.XLOOKUP(Sales_Table[[#This Row],[CustomerID]],Customer_Table[CustomerID],Customer_Table[CustomerName],"NULL",0)</f>
        <v>Customer_48</v>
      </c>
      <c r="M213" t="str">
        <f>INDEX(Customer_Table[Country],MATCH(Sales_Table[[#This Row],[CustomerID]],Customer_Table[CustomerID],0))</f>
        <v>India</v>
      </c>
      <c r="N213" t="str">
        <f>INDEX(Customer_Table[Email],MATCH(Sales_Table[[#This Row],[CustomerID]],Customer_Table[CustomerID],0))</f>
        <v>customer48@email.com</v>
      </c>
    </row>
    <row r="214" spans="1:14" x14ac:dyDescent="0.3">
      <c r="A214" t="s">
        <v>364</v>
      </c>
      <c r="B214" s="1">
        <v>45417</v>
      </c>
      <c r="C214" s="1" t="str">
        <f>TEXT(Sales_Table[[#This Row],[OrderDate]],"DDDD")</f>
        <v>Sunday</v>
      </c>
      <c r="D214" s="1" t="str">
        <f>TEXT(Sales_Table[[#This Row],[OrderDate]],"MMMM")</f>
        <v>May</v>
      </c>
      <c r="E214" t="s">
        <v>121</v>
      </c>
      <c r="F214" t="s">
        <v>156</v>
      </c>
      <c r="G214">
        <v>4</v>
      </c>
      <c r="H214">
        <v>1359.8</v>
      </c>
      <c r="I214" t="str">
        <f>VLOOKUP(Sales_Table[[#This Row],[ProductID]],Product_Table[],2,FALSE)</f>
        <v>Product_11</v>
      </c>
      <c r="J214" t="str">
        <f>VLOOKUP(Sales_Table[[#This Row],[ProductID]],Product_Table[],3,FALSE)</f>
        <v>Electronics</v>
      </c>
      <c r="K214">
        <f>_xlfn.XLOOKUP(Sales_Table[[#This Row],[ProductID]],Product_Table[ProductID],Product_Table[UnitPrice],"NULL",0)</f>
        <v>339.95</v>
      </c>
      <c r="L214" t="str">
        <f>_xlfn.XLOOKUP(Sales_Table[[#This Row],[CustomerID]],Customer_Table[CustomerID],Customer_Table[CustomerName],"NULL",0)</f>
        <v>Customer_50</v>
      </c>
      <c r="M214" t="str">
        <f>INDEX(Customer_Table[Country],MATCH(Sales_Table[[#This Row],[CustomerID]],Customer_Table[CustomerID],0))</f>
        <v>India</v>
      </c>
      <c r="N214" t="str">
        <f>INDEX(Customer_Table[Email],MATCH(Sales_Table[[#This Row],[CustomerID]],Customer_Table[CustomerID],0))</f>
        <v>customer50@email.com</v>
      </c>
    </row>
    <row r="215" spans="1:14" x14ac:dyDescent="0.3">
      <c r="A215" t="s">
        <v>365</v>
      </c>
      <c r="B215" s="1">
        <v>45402</v>
      </c>
      <c r="C215" s="1" t="str">
        <f>TEXT(Sales_Table[[#This Row],[OrderDate]],"DDDD")</f>
        <v>Saturday</v>
      </c>
      <c r="D215" s="1" t="str">
        <f>TEXT(Sales_Table[[#This Row],[OrderDate]],"MMMM")</f>
        <v>April</v>
      </c>
      <c r="E215" t="s">
        <v>366</v>
      </c>
      <c r="F215" t="s">
        <v>89</v>
      </c>
      <c r="G215">
        <v>1</v>
      </c>
      <c r="H215">
        <v>433.28</v>
      </c>
      <c r="I215" t="str">
        <f>VLOOKUP(Sales_Table[[#This Row],[ProductID]],Product_Table[],2,FALSE)</f>
        <v>Product_10</v>
      </c>
      <c r="J215" t="str">
        <f>VLOOKUP(Sales_Table[[#This Row],[ProductID]],Product_Table[],3,FALSE)</f>
        <v>Beauty</v>
      </c>
      <c r="K215">
        <f>_xlfn.XLOOKUP(Sales_Table[[#This Row],[ProductID]],Product_Table[ProductID],Product_Table[UnitPrice],"NULL",0)</f>
        <v>433.28</v>
      </c>
      <c r="L215" t="str">
        <f>_xlfn.XLOOKUP(Sales_Table[[#This Row],[CustomerID]],Customer_Table[CustomerID],Customer_Table[CustomerName],"NULL",0)</f>
        <v>Customer_40</v>
      </c>
      <c r="M215" t="str">
        <f>INDEX(Customer_Table[Country],MATCH(Sales_Table[[#This Row],[CustomerID]],Customer_Table[CustomerID],0))</f>
        <v>United Kingdom</v>
      </c>
      <c r="N215" t="str">
        <f>INDEX(Customer_Table[Email],MATCH(Sales_Table[[#This Row],[CustomerID]],Customer_Table[CustomerID],0))</f>
        <v>customer40@email.com</v>
      </c>
    </row>
    <row r="216" spans="1:14" x14ac:dyDescent="0.3">
      <c r="A216" t="s">
        <v>367</v>
      </c>
      <c r="B216" s="1">
        <v>45454</v>
      </c>
      <c r="C216" s="1" t="str">
        <f>TEXT(Sales_Table[[#This Row],[OrderDate]],"DDDD")</f>
        <v>Tuesday</v>
      </c>
      <c r="D216" s="1" t="str">
        <f>TEXT(Sales_Table[[#This Row],[OrderDate]],"MMMM")</f>
        <v>June</v>
      </c>
      <c r="E216" t="s">
        <v>136</v>
      </c>
      <c r="F216" t="s">
        <v>154</v>
      </c>
      <c r="G216">
        <v>3</v>
      </c>
      <c r="H216">
        <v>998.7</v>
      </c>
      <c r="I216" t="str">
        <f>VLOOKUP(Sales_Table[[#This Row],[ProductID]],Product_Table[],2,FALSE)</f>
        <v>Product_8</v>
      </c>
      <c r="J216" t="str">
        <f>VLOOKUP(Sales_Table[[#This Row],[ProductID]],Product_Table[],3,FALSE)</f>
        <v>Electronics</v>
      </c>
      <c r="K216">
        <f>_xlfn.XLOOKUP(Sales_Table[[#This Row],[ProductID]],Product_Table[ProductID],Product_Table[UnitPrice],"NULL",0)</f>
        <v>332.9</v>
      </c>
      <c r="L216" t="str">
        <f>_xlfn.XLOOKUP(Sales_Table[[#This Row],[CustomerID]],Customer_Table[CustomerID],Customer_Table[CustomerName],"NULL",0)</f>
        <v>Customer_85</v>
      </c>
      <c r="M216" t="str">
        <f>INDEX(Customer_Table[Country],MATCH(Sales_Table[[#This Row],[CustomerID]],Customer_Table[CustomerID],0))</f>
        <v>Canada</v>
      </c>
      <c r="N216" t="str">
        <f>INDEX(Customer_Table[Email],MATCH(Sales_Table[[#This Row],[CustomerID]],Customer_Table[CustomerID],0))</f>
        <v>customer85@email.com</v>
      </c>
    </row>
    <row r="217" spans="1:14" x14ac:dyDescent="0.3">
      <c r="A217" t="s">
        <v>368</v>
      </c>
      <c r="B217" s="1">
        <v>45331</v>
      </c>
      <c r="C217" s="1" t="str">
        <f>TEXT(Sales_Table[[#This Row],[OrderDate]],"DDDD")</f>
        <v>Friday</v>
      </c>
      <c r="D217" s="1" t="str">
        <f>TEXT(Sales_Table[[#This Row],[OrderDate]],"MMMM")</f>
        <v>February</v>
      </c>
      <c r="E217" t="s">
        <v>121</v>
      </c>
      <c r="F217" t="s">
        <v>140</v>
      </c>
      <c r="G217">
        <v>4</v>
      </c>
      <c r="H217">
        <v>1351.2</v>
      </c>
      <c r="I217" t="str">
        <f>VLOOKUP(Sales_Table[[#This Row],[ProductID]],Product_Table[],2,FALSE)</f>
        <v>Product_3</v>
      </c>
      <c r="J217" t="str">
        <f>VLOOKUP(Sales_Table[[#This Row],[ProductID]],Product_Table[],3,FALSE)</f>
        <v>Home</v>
      </c>
      <c r="K217">
        <f>_xlfn.XLOOKUP(Sales_Table[[#This Row],[ProductID]],Product_Table[ProductID],Product_Table[UnitPrice],"NULL",0)</f>
        <v>337.8</v>
      </c>
      <c r="L217" t="str">
        <f>_xlfn.XLOOKUP(Sales_Table[[#This Row],[CustomerID]],Customer_Table[CustomerID],Customer_Table[CustomerName],"NULL",0)</f>
        <v>Customer_50</v>
      </c>
      <c r="M217" t="str">
        <f>INDEX(Customer_Table[Country],MATCH(Sales_Table[[#This Row],[CustomerID]],Customer_Table[CustomerID],0))</f>
        <v>India</v>
      </c>
      <c r="N217" t="str">
        <f>INDEX(Customer_Table[Email],MATCH(Sales_Table[[#This Row],[CustomerID]],Customer_Table[CustomerID],0))</f>
        <v>customer50@email.com</v>
      </c>
    </row>
    <row r="218" spans="1:14" x14ac:dyDescent="0.3">
      <c r="A218" t="s">
        <v>369</v>
      </c>
      <c r="B218" s="1">
        <v>45337</v>
      </c>
      <c r="C218" s="1" t="str">
        <f>TEXT(Sales_Table[[#This Row],[OrderDate]],"DDDD")</f>
        <v>Thursday</v>
      </c>
      <c r="D218" s="1" t="str">
        <f>TEXT(Sales_Table[[#This Row],[OrderDate]],"MMMM")</f>
        <v>February</v>
      </c>
      <c r="E218" t="s">
        <v>193</v>
      </c>
      <c r="F218" t="s">
        <v>46</v>
      </c>
      <c r="G218">
        <v>4</v>
      </c>
      <c r="H218">
        <v>1337.28</v>
      </c>
      <c r="I218" t="str">
        <f>VLOOKUP(Sales_Table[[#This Row],[ProductID]],Product_Table[],2,FALSE)</f>
        <v>Product_28</v>
      </c>
      <c r="J218" t="str">
        <f>VLOOKUP(Sales_Table[[#This Row],[ProductID]],Product_Table[],3,FALSE)</f>
        <v>Sports</v>
      </c>
      <c r="K218">
        <f>_xlfn.XLOOKUP(Sales_Table[[#This Row],[ProductID]],Product_Table[ProductID],Product_Table[UnitPrice],"NULL",0)</f>
        <v>334.32</v>
      </c>
      <c r="L218" t="str">
        <f>_xlfn.XLOOKUP(Sales_Table[[#This Row],[CustomerID]],Customer_Table[CustomerID],Customer_Table[CustomerName],"NULL",0)</f>
        <v>Customer_87</v>
      </c>
      <c r="M218" t="str">
        <f>INDEX(Customer_Table[Country],MATCH(Sales_Table[[#This Row],[CustomerID]],Customer_Table[CustomerID],0))</f>
        <v>India</v>
      </c>
      <c r="N218" t="str">
        <f>INDEX(Customer_Table[Email],MATCH(Sales_Table[[#This Row],[CustomerID]],Customer_Table[CustomerID],0))</f>
        <v>customer87@email.com</v>
      </c>
    </row>
    <row r="219" spans="1:14" x14ac:dyDescent="0.3">
      <c r="A219" t="s">
        <v>370</v>
      </c>
      <c r="B219" s="1">
        <v>45458</v>
      </c>
      <c r="C219" s="1" t="str">
        <f>TEXT(Sales_Table[[#This Row],[OrderDate]],"DDDD")</f>
        <v>Saturday</v>
      </c>
      <c r="D219" s="1" t="str">
        <f>TEXT(Sales_Table[[#This Row],[OrderDate]],"MMMM")</f>
        <v>June</v>
      </c>
      <c r="E219" t="s">
        <v>371</v>
      </c>
      <c r="F219" t="s">
        <v>122</v>
      </c>
      <c r="G219">
        <v>5</v>
      </c>
      <c r="H219">
        <v>1135.6500000000001</v>
      </c>
      <c r="I219" t="str">
        <f>VLOOKUP(Sales_Table[[#This Row],[ProductID]],Product_Table[],2,FALSE)</f>
        <v>Product_18</v>
      </c>
      <c r="J219" t="str">
        <f>VLOOKUP(Sales_Table[[#This Row],[ProductID]],Product_Table[],3,FALSE)</f>
        <v>Electronics</v>
      </c>
      <c r="K219">
        <f>_xlfn.XLOOKUP(Sales_Table[[#This Row],[ProductID]],Product_Table[ProductID],Product_Table[UnitPrice],"NULL",0)</f>
        <v>227.13</v>
      </c>
      <c r="L219" t="str">
        <f>_xlfn.XLOOKUP(Sales_Table[[#This Row],[CustomerID]],Customer_Table[CustomerID],Customer_Table[CustomerName],"NULL",0)</f>
        <v>Customer_78</v>
      </c>
      <c r="M219" t="str">
        <f>INDEX(Customer_Table[Country],MATCH(Sales_Table[[#This Row],[CustomerID]],Customer_Table[CustomerID],0))</f>
        <v>India</v>
      </c>
      <c r="N219" t="str">
        <f>INDEX(Customer_Table[Email],MATCH(Sales_Table[[#This Row],[CustomerID]],Customer_Table[CustomerID],0))</f>
        <v>customer78@email.com</v>
      </c>
    </row>
    <row r="220" spans="1:14" x14ac:dyDescent="0.3">
      <c r="A220" t="s">
        <v>372</v>
      </c>
      <c r="B220" s="1">
        <v>45449</v>
      </c>
      <c r="C220" s="1" t="str">
        <f>TEXT(Sales_Table[[#This Row],[OrderDate]],"DDDD")</f>
        <v>Thursday</v>
      </c>
      <c r="D220" s="1" t="str">
        <f>TEXT(Sales_Table[[#This Row],[OrderDate]],"MMMM")</f>
        <v>June</v>
      </c>
      <c r="E220" t="s">
        <v>180</v>
      </c>
      <c r="F220" t="s">
        <v>116</v>
      </c>
      <c r="G220">
        <v>3</v>
      </c>
      <c r="H220">
        <v>147.75</v>
      </c>
      <c r="I220" t="str">
        <f>VLOOKUP(Sales_Table[[#This Row],[ProductID]],Product_Table[],2,FALSE)</f>
        <v>Product_36</v>
      </c>
      <c r="J220" t="str">
        <f>VLOOKUP(Sales_Table[[#This Row],[ProductID]],Product_Table[],3,FALSE)</f>
        <v>Sports</v>
      </c>
      <c r="K220">
        <f>_xlfn.XLOOKUP(Sales_Table[[#This Row],[ProductID]],Product_Table[ProductID],Product_Table[UnitPrice],"NULL",0)</f>
        <v>49.25</v>
      </c>
      <c r="L220" t="str">
        <f>_xlfn.XLOOKUP(Sales_Table[[#This Row],[CustomerID]],Customer_Table[CustomerID],Customer_Table[CustomerName],"NULL",0)</f>
        <v>Customer_111</v>
      </c>
      <c r="M220" t="str">
        <f>INDEX(Customer_Table[Country],MATCH(Sales_Table[[#This Row],[CustomerID]],Customer_Table[CustomerID],0))</f>
        <v>Canada</v>
      </c>
      <c r="N220" t="str">
        <f>INDEX(Customer_Table[Email],MATCH(Sales_Table[[#This Row],[CustomerID]],Customer_Table[CustomerID],0))</f>
        <v>customer111@email.com</v>
      </c>
    </row>
    <row r="221" spans="1:14" x14ac:dyDescent="0.3">
      <c r="A221" t="s">
        <v>373</v>
      </c>
      <c r="B221" s="1">
        <v>45415</v>
      </c>
      <c r="C221" s="1" t="str">
        <f>TEXT(Sales_Table[[#This Row],[OrderDate]],"DDDD")</f>
        <v>Friday</v>
      </c>
      <c r="D221" s="1" t="str">
        <f>TEXT(Sales_Table[[#This Row],[OrderDate]],"MMMM")</f>
        <v>May</v>
      </c>
      <c r="E221" t="s">
        <v>272</v>
      </c>
      <c r="F221" t="s">
        <v>122</v>
      </c>
      <c r="G221">
        <v>5</v>
      </c>
      <c r="H221">
        <v>1135.6500000000001</v>
      </c>
      <c r="I221" t="str">
        <f>VLOOKUP(Sales_Table[[#This Row],[ProductID]],Product_Table[],2,FALSE)</f>
        <v>Product_18</v>
      </c>
      <c r="J221" t="str">
        <f>VLOOKUP(Sales_Table[[#This Row],[ProductID]],Product_Table[],3,FALSE)</f>
        <v>Electronics</v>
      </c>
      <c r="K221">
        <f>_xlfn.XLOOKUP(Sales_Table[[#This Row],[ProductID]],Product_Table[ProductID],Product_Table[UnitPrice],"NULL",0)</f>
        <v>227.13</v>
      </c>
      <c r="L221" t="str">
        <f>_xlfn.XLOOKUP(Sales_Table[[#This Row],[CustomerID]],Customer_Table[CustomerID],Customer_Table[CustomerName],"NULL",0)</f>
        <v>Customer_67</v>
      </c>
      <c r="M221" t="str">
        <f>INDEX(Customer_Table[Country],MATCH(Sales_Table[[#This Row],[CustomerID]],Customer_Table[CustomerID],0))</f>
        <v>Canada</v>
      </c>
      <c r="N221" t="str">
        <f>INDEX(Customer_Table[Email],MATCH(Sales_Table[[#This Row],[CustomerID]],Customer_Table[CustomerID],0))</f>
        <v>customer67@email.com</v>
      </c>
    </row>
    <row r="222" spans="1:14" x14ac:dyDescent="0.3">
      <c r="A222" t="s">
        <v>374</v>
      </c>
      <c r="B222" s="1">
        <v>45403</v>
      </c>
      <c r="C222" s="1" t="str">
        <f>TEXT(Sales_Table[[#This Row],[OrderDate]],"DDDD")</f>
        <v>Sunday</v>
      </c>
      <c r="D222" s="1" t="str">
        <f>TEXT(Sales_Table[[#This Row],[OrderDate]],"MMMM")</f>
        <v>April</v>
      </c>
      <c r="E222" t="s">
        <v>375</v>
      </c>
      <c r="F222" t="s">
        <v>122</v>
      </c>
      <c r="G222">
        <v>4</v>
      </c>
      <c r="H222">
        <v>908.52</v>
      </c>
      <c r="I222" t="str">
        <f>VLOOKUP(Sales_Table[[#This Row],[ProductID]],Product_Table[],2,FALSE)</f>
        <v>Product_18</v>
      </c>
      <c r="J222" t="str">
        <f>VLOOKUP(Sales_Table[[#This Row],[ProductID]],Product_Table[],3,FALSE)</f>
        <v>Electronics</v>
      </c>
      <c r="K222">
        <f>_xlfn.XLOOKUP(Sales_Table[[#This Row],[ProductID]],Product_Table[ProductID],Product_Table[UnitPrice],"NULL",0)</f>
        <v>227.13</v>
      </c>
      <c r="L222" t="str">
        <f>_xlfn.XLOOKUP(Sales_Table[[#This Row],[CustomerID]],Customer_Table[CustomerID],Customer_Table[CustomerName],"NULL",0)</f>
        <v>Customer_44</v>
      </c>
      <c r="M222" t="str">
        <f>INDEX(Customer_Table[Country],MATCH(Sales_Table[[#This Row],[CustomerID]],Customer_Table[CustomerID],0))</f>
        <v>India</v>
      </c>
      <c r="N222" t="str">
        <f>INDEX(Customer_Table[Email],MATCH(Sales_Table[[#This Row],[CustomerID]],Customer_Table[CustomerID],0))</f>
        <v>customer44@email.com</v>
      </c>
    </row>
    <row r="223" spans="1:14" x14ac:dyDescent="0.3">
      <c r="A223" t="s">
        <v>376</v>
      </c>
      <c r="B223" s="1">
        <v>45360</v>
      </c>
      <c r="C223" s="1" t="str">
        <f>TEXT(Sales_Table[[#This Row],[OrderDate]],"DDDD")</f>
        <v>Saturday</v>
      </c>
      <c r="D223" s="1" t="str">
        <f>TEXT(Sales_Table[[#This Row],[OrderDate]],"MMMM")</f>
        <v>March</v>
      </c>
      <c r="E223" t="s">
        <v>318</v>
      </c>
      <c r="F223" t="s">
        <v>71</v>
      </c>
      <c r="G223">
        <v>5</v>
      </c>
      <c r="H223">
        <v>289.89999999999998</v>
      </c>
      <c r="I223" t="str">
        <f>VLOOKUP(Sales_Table[[#This Row],[ProductID]],Product_Table[],2,FALSE)</f>
        <v>Product_19</v>
      </c>
      <c r="J223" t="str">
        <f>VLOOKUP(Sales_Table[[#This Row],[ProductID]],Product_Table[],3,FALSE)</f>
        <v>Sports</v>
      </c>
      <c r="K223">
        <f>_xlfn.XLOOKUP(Sales_Table[[#This Row],[ProductID]],Product_Table[ProductID],Product_Table[UnitPrice],"NULL",0)</f>
        <v>57.98</v>
      </c>
      <c r="L223" t="str">
        <f>_xlfn.XLOOKUP(Sales_Table[[#This Row],[CustomerID]],Customer_Table[CustomerID],Customer_Table[CustomerName],"NULL",0)</f>
        <v>Customer_23</v>
      </c>
      <c r="M223" t="str">
        <f>INDEX(Customer_Table[Country],MATCH(Sales_Table[[#This Row],[CustomerID]],Customer_Table[CustomerID],0))</f>
        <v>United States</v>
      </c>
      <c r="N223" t="str">
        <f>INDEX(Customer_Table[Email],MATCH(Sales_Table[[#This Row],[CustomerID]],Customer_Table[CustomerID],0))</f>
        <v>customer23@email.com</v>
      </c>
    </row>
    <row r="224" spans="1:14" x14ac:dyDescent="0.3">
      <c r="A224" t="s">
        <v>377</v>
      </c>
      <c r="B224" s="1">
        <v>45354</v>
      </c>
      <c r="C224" s="1" t="str">
        <f>TEXT(Sales_Table[[#This Row],[OrderDate]],"DDDD")</f>
        <v>Sunday</v>
      </c>
      <c r="D224" s="1" t="str">
        <f>TEXT(Sales_Table[[#This Row],[OrderDate]],"MMMM")</f>
        <v>March</v>
      </c>
      <c r="E224" t="s">
        <v>315</v>
      </c>
      <c r="F224" t="s">
        <v>122</v>
      </c>
      <c r="G224">
        <v>3</v>
      </c>
      <c r="H224">
        <v>681.39</v>
      </c>
      <c r="I224" t="str">
        <f>VLOOKUP(Sales_Table[[#This Row],[ProductID]],Product_Table[],2,FALSE)</f>
        <v>Product_18</v>
      </c>
      <c r="J224" t="str">
        <f>VLOOKUP(Sales_Table[[#This Row],[ProductID]],Product_Table[],3,FALSE)</f>
        <v>Electronics</v>
      </c>
      <c r="K224">
        <f>_xlfn.XLOOKUP(Sales_Table[[#This Row],[ProductID]],Product_Table[ProductID],Product_Table[UnitPrice],"NULL",0)</f>
        <v>227.13</v>
      </c>
      <c r="L224" t="str">
        <f>_xlfn.XLOOKUP(Sales_Table[[#This Row],[CustomerID]],Customer_Table[CustomerID],Customer_Table[CustomerName],"NULL",0)</f>
        <v>Customer_74</v>
      </c>
      <c r="M224" t="str">
        <f>INDEX(Customer_Table[Country],MATCH(Sales_Table[[#This Row],[CustomerID]],Customer_Table[CustomerID],0))</f>
        <v>Canada</v>
      </c>
      <c r="N224" t="str">
        <f>INDEX(Customer_Table[Email],MATCH(Sales_Table[[#This Row],[CustomerID]],Customer_Table[CustomerID],0))</f>
        <v>customer74@email.com</v>
      </c>
    </row>
    <row r="225" spans="1:14" x14ac:dyDescent="0.3">
      <c r="A225" t="s">
        <v>378</v>
      </c>
      <c r="B225" s="1">
        <v>45363</v>
      </c>
      <c r="C225" s="1" t="str">
        <f>TEXT(Sales_Table[[#This Row],[OrderDate]],"DDDD")</f>
        <v>Tuesday</v>
      </c>
      <c r="D225" s="1" t="str">
        <f>TEXT(Sales_Table[[#This Row],[OrderDate]],"MMMM")</f>
        <v>March</v>
      </c>
      <c r="E225" t="s">
        <v>119</v>
      </c>
      <c r="F225" t="s">
        <v>111</v>
      </c>
      <c r="G225">
        <v>1</v>
      </c>
      <c r="H225">
        <v>139.94999999999999</v>
      </c>
      <c r="I225" t="str">
        <f>VLOOKUP(Sales_Table[[#This Row],[ProductID]],Product_Table[],2,FALSE)</f>
        <v>Product_26</v>
      </c>
      <c r="J225" t="str">
        <f>VLOOKUP(Sales_Table[[#This Row],[ProductID]],Product_Table[],3,FALSE)</f>
        <v>Beauty</v>
      </c>
      <c r="K225">
        <f>_xlfn.XLOOKUP(Sales_Table[[#This Row],[ProductID]],Product_Table[ProductID],Product_Table[UnitPrice],"NULL",0)</f>
        <v>139.94999999999999</v>
      </c>
      <c r="L225" t="str">
        <f>_xlfn.XLOOKUP(Sales_Table[[#This Row],[CustomerID]],Customer_Table[CustomerID],Customer_Table[CustomerName],"NULL",0)</f>
        <v>Customer_59</v>
      </c>
      <c r="M225" t="str">
        <f>INDEX(Customer_Table[Country],MATCH(Sales_Table[[#This Row],[CustomerID]],Customer_Table[CustomerID],0))</f>
        <v>United Kingdom</v>
      </c>
      <c r="N225" t="str">
        <f>INDEX(Customer_Table[Email],MATCH(Sales_Table[[#This Row],[CustomerID]],Customer_Table[CustomerID],0))</f>
        <v>customer59@email.com</v>
      </c>
    </row>
    <row r="226" spans="1:14" x14ac:dyDescent="0.3">
      <c r="A226" t="s">
        <v>379</v>
      </c>
      <c r="B226" s="1">
        <v>45354</v>
      </c>
      <c r="C226" s="1" t="str">
        <f>TEXT(Sales_Table[[#This Row],[OrderDate]],"DDDD")</f>
        <v>Sunday</v>
      </c>
      <c r="D226" s="1" t="str">
        <f>TEXT(Sales_Table[[#This Row],[OrderDate]],"MMMM")</f>
        <v>March</v>
      </c>
      <c r="E226" t="s">
        <v>143</v>
      </c>
      <c r="F226" t="s">
        <v>57</v>
      </c>
      <c r="G226">
        <v>4</v>
      </c>
      <c r="H226">
        <v>1175.2</v>
      </c>
      <c r="I226" t="str">
        <f>VLOOKUP(Sales_Table[[#This Row],[ProductID]],Product_Table[],2,FALSE)</f>
        <v>Product_31</v>
      </c>
      <c r="J226" t="str">
        <f>VLOOKUP(Sales_Table[[#This Row],[ProductID]],Product_Table[],3,FALSE)</f>
        <v>Electronics</v>
      </c>
      <c r="K226">
        <f>_xlfn.XLOOKUP(Sales_Table[[#This Row],[ProductID]],Product_Table[ProductID],Product_Table[UnitPrice],"NULL",0)</f>
        <v>293.8</v>
      </c>
      <c r="L226" t="str">
        <f>_xlfn.XLOOKUP(Sales_Table[[#This Row],[CustomerID]],Customer_Table[CustomerID],Customer_Table[CustomerName],"NULL",0)</f>
        <v>Customer_5</v>
      </c>
      <c r="M226" t="str">
        <f>INDEX(Customer_Table[Country],MATCH(Sales_Table[[#This Row],[CustomerID]],Customer_Table[CustomerID],0))</f>
        <v>India</v>
      </c>
      <c r="N226" t="str">
        <f>INDEX(Customer_Table[Email],MATCH(Sales_Table[[#This Row],[CustomerID]],Customer_Table[CustomerID],0))</f>
        <v>customer5@email.com</v>
      </c>
    </row>
    <row r="227" spans="1:14" x14ac:dyDescent="0.3">
      <c r="A227" t="s">
        <v>380</v>
      </c>
      <c r="B227" s="1">
        <v>45437</v>
      </c>
      <c r="C227" s="1" t="str">
        <f>TEXT(Sales_Table[[#This Row],[OrderDate]],"DDDD")</f>
        <v>Saturday</v>
      </c>
      <c r="D227" s="1" t="str">
        <f>TEXT(Sales_Table[[#This Row],[OrderDate]],"MMMM")</f>
        <v>May</v>
      </c>
      <c r="E227" t="s">
        <v>40</v>
      </c>
      <c r="F227" t="s">
        <v>28</v>
      </c>
      <c r="G227">
        <v>4</v>
      </c>
      <c r="H227">
        <v>831.4</v>
      </c>
      <c r="I227" t="str">
        <f>VLOOKUP(Sales_Table[[#This Row],[ProductID]],Product_Table[],2,FALSE)</f>
        <v>Product_39</v>
      </c>
      <c r="J227" t="str">
        <f>VLOOKUP(Sales_Table[[#This Row],[ProductID]],Product_Table[],3,FALSE)</f>
        <v>Clothing</v>
      </c>
      <c r="K227">
        <f>_xlfn.XLOOKUP(Sales_Table[[#This Row],[ProductID]],Product_Table[ProductID],Product_Table[UnitPrice],"NULL",0)</f>
        <v>207.85</v>
      </c>
      <c r="L227" t="str">
        <f>_xlfn.XLOOKUP(Sales_Table[[#This Row],[CustomerID]],Customer_Table[CustomerID],Customer_Table[CustomerName],"NULL",0)</f>
        <v>Customer_21</v>
      </c>
      <c r="M227" t="str">
        <f>INDEX(Customer_Table[Country],MATCH(Sales_Table[[#This Row],[CustomerID]],Customer_Table[CustomerID],0))</f>
        <v>United Kingdom</v>
      </c>
      <c r="N227" t="str">
        <f>INDEX(Customer_Table[Email],MATCH(Sales_Table[[#This Row],[CustomerID]],Customer_Table[CustomerID],0))</f>
        <v>customer21@email.com</v>
      </c>
    </row>
    <row r="228" spans="1:14" x14ac:dyDescent="0.3">
      <c r="A228" t="s">
        <v>381</v>
      </c>
      <c r="B228" s="1">
        <v>45463</v>
      </c>
      <c r="C228" s="1" t="str">
        <f>TEXT(Sales_Table[[#This Row],[OrderDate]],"DDDD")</f>
        <v>Thursday</v>
      </c>
      <c r="D228" s="1" t="str">
        <f>TEXT(Sales_Table[[#This Row],[OrderDate]],"MMMM")</f>
        <v>June</v>
      </c>
      <c r="E228" t="s">
        <v>147</v>
      </c>
      <c r="F228" t="s">
        <v>80</v>
      </c>
      <c r="G228">
        <v>5</v>
      </c>
      <c r="H228">
        <v>1083.5999999999999</v>
      </c>
      <c r="I228" t="str">
        <f>VLOOKUP(Sales_Table[[#This Row],[ProductID]],Product_Table[],2,FALSE)</f>
        <v>Product_16</v>
      </c>
      <c r="J228" t="str">
        <f>VLOOKUP(Sales_Table[[#This Row],[ProductID]],Product_Table[],3,FALSE)</f>
        <v>Clothing</v>
      </c>
      <c r="K228">
        <f>_xlfn.XLOOKUP(Sales_Table[[#This Row],[ProductID]],Product_Table[ProductID],Product_Table[UnitPrice],"NULL",0)</f>
        <v>216.72</v>
      </c>
      <c r="L228" t="str">
        <f>_xlfn.XLOOKUP(Sales_Table[[#This Row],[CustomerID]],Customer_Table[CustomerID],Customer_Table[CustomerName],"NULL",0)</f>
        <v>Customer_30</v>
      </c>
      <c r="M228" t="str">
        <f>INDEX(Customer_Table[Country],MATCH(Sales_Table[[#This Row],[CustomerID]],Customer_Table[CustomerID],0))</f>
        <v>United States</v>
      </c>
      <c r="N228" t="str">
        <f>INDEX(Customer_Table[Email],MATCH(Sales_Table[[#This Row],[CustomerID]],Customer_Table[CustomerID],0))</f>
        <v>customer30@email.com</v>
      </c>
    </row>
    <row r="229" spans="1:14" x14ac:dyDescent="0.3">
      <c r="A229" t="s">
        <v>382</v>
      </c>
      <c r="B229" s="1">
        <v>45378</v>
      </c>
      <c r="C229" s="1" t="str">
        <f>TEXT(Sales_Table[[#This Row],[OrderDate]],"DDDD")</f>
        <v>Wednesday</v>
      </c>
      <c r="D229" s="1" t="str">
        <f>TEXT(Sales_Table[[#This Row],[OrderDate]],"MMMM")</f>
        <v>March</v>
      </c>
      <c r="E229" t="s">
        <v>136</v>
      </c>
      <c r="F229" t="s">
        <v>140</v>
      </c>
      <c r="G229">
        <v>4</v>
      </c>
      <c r="H229">
        <v>1351.2</v>
      </c>
      <c r="I229" t="str">
        <f>VLOOKUP(Sales_Table[[#This Row],[ProductID]],Product_Table[],2,FALSE)</f>
        <v>Product_3</v>
      </c>
      <c r="J229" t="str">
        <f>VLOOKUP(Sales_Table[[#This Row],[ProductID]],Product_Table[],3,FALSE)</f>
        <v>Home</v>
      </c>
      <c r="K229">
        <f>_xlfn.XLOOKUP(Sales_Table[[#This Row],[ProductID]],Product_Table[ProductID],Product_Table[UnitPrice],"NULL",0)</f>
        <v>337.8</v>
      </c>
      <c r="L229" t="str">
        <f>_xlfn.XLOOKUP(Sales_Table[[#This Row],[CustomerID]],Customer_Table[CustomerID],Customer_Table[CustomerName],"NULL",0)</f>
        <v>Customer_85</v>
      </c>
      <c r="M229" t="str">
        <f>INDEX(Customer_Table[Country],MATCH(Sales_Table[[#This Row],[CustomerID]],Customer_Table[CustomerID],0))</f>
        <v>Canada</v>
      </c>
      <c r="N229" t="str">
        <f>INDEX(Customer_Table[Email],MATCH(Sales_Table[[#This Row],[CustomerID]],Customer_Table[CustomerID],0))</f>
        <v>customer85@email.com</v>
      </c>
    </row>
    <row r="230" spans="1:14" x14ac:dyDescent="0.3">
      <c r="A230" t="s">
        <v>383</v>
      </c>
      <c r="B230" s="1">
        <v>45418</v>
      </c>
      <c r="C230" s="1" t="str">
        <f>TEXT(Sales_Table[[#This Row],[OrderDate]],"DDDD")</f>
        <v>Monday</v>
      </c>
      <c r="D230" s="1" t="str">
        <f>TEXT(Sales_Table[[#This Row],[OrderDate]],"MMMM")</f>
        <v>May</v>
      </c>
      <c r="E230" t="s">
        <v>320</v>
      </c>
      <c r="F230" t="s">
        <v>60</v>
      </c>
      <c r="G230">
        <v>1</v>
      </c>
      <c r="H230">
        <v>85.85</v>
      </c>
      <c r="I230" t="str">
        <f>VLOOKUP(Sales_Table[[#This Row],[ProductID]],Product_Table[],2,FALSE)</f>
        <v>Product_29</v>
      </c>
      <c r="J230" t="str">
        <f>VLOOKUP(Sales_Table[[#This Row],[ProductID]],Product_Table[],3,FALSE)</f>
        <v>Beauty</v>
      </c>
      <c r="K230">
        <f>_xlfn.XLOOKUP(Sales_Table[[#This Row],[ProductID]],Product_Table[ProductID],Product_Table[UnitPrice],"NULL",0)</f>
        <v>85.85</v>
      </c>
      <c r="L230" t="str">
        <f>_xlfn.XLOOKUP(Sales_Table[[#This Row],[CustomerID]],Customer_Table[CustomerID],Customer_Table[CustomerName],"NULL",0)</f>
        <v>Customer_51</v>
      </c>
      <c r="M230" t="str">
        <f>INDEX(Customer_Table[Country],MATCH(Sales_Table[[#This Row],[CustomerID]],Customer_Table[CustomerID],0))</f>
        <v>United Kingdom</v>
      </c>
      <c r="N230" t="str">
        <f>INDEX(Customer_Table[Email],MATCH(Sales_Table[[#This Row],[CustomerID]],Customer_Table[CustomerID],0))</f>
        <v>customer51@email.com</v>
      </c>
    </row>
    <row r="231" spans="1:14" x14ac:dyDescent="0.3">
      <c r="A231" t="s">
        <v>384</v>
      </c>
      <c r="B231" s="1">
        <v>45338</v>
      </c>
      <c r="C231" s="1" t="str">
        <f>TEXT(Sales_Table[[#This Row],[OrderDate]],"DDDD")</f>
        <v>Friday</v>
      </c>
      <c r="D231" s="1" t="str">
        <f>TEXT(Sales_Table[[#This Row],[OrderDate]],"MMMM")</f>
        <v>February</v>
      </c>
      <c r="E231" t="s">
        <v>385</v>
      </c>
      <c r="F231" t="s">
        <v>130</v>
      </c>
      <c r="G231">
        <v>3</v>
      </c>
      <c r="H231">
        <v>261.42</v>
      </c>
      <c r="I231" t="str">
        <f>VLOOKUP(Sales_Table[[#This Row],[ProductID]],Product_Table[],2,FALSE)</f>
        <v>Product_35</v>
      </c>
      <c r="J231" t="str">
        <f>VLOOKUP(Sales_Table[[#This Row],[ProductID]],Product_Table[],3,FALSE)</f>
        <v>Sports</v>
      </c>
      <c r="K231">
        <f>_xlfn.XLOOKUP(Sales_Table[[#This Row],[ProductID]],Product_Table[ProductID],Product_Table[UnitPrice],"NULL",0)</f>
        <v>87.14</v>
      </c>
      <c r="L231" t="str">
        <f>_xlfn.XLOOKUP(Sales_Table[[#This Row],[CustomerID]],Customer_Table[CustomerID],Customer_Table[CustomerName],"NULL",0)</f>
        <v>Customer_39</v>
      </c>
      <c r="M231" t="str">
        <f>INDEX(Customer_Table[Country],MATCH(Sales_Table[[#This Row],[CustomerID]],Customer_Table[CustomerID],0))</f>
        <v>United States</v>
      </c>
      <c r="N231" t="str">
        <f>INDEX(Customer_Table[Email],MATCH(Sales_Table[[#This Row],[CustomerID]],Customer_Table[CustomerID],0))</f>
        <v>customer39@email.com</v>
      </c>
    </row>
    <row r="232" spans="1:14" x14ac:dyDescent="0.3">
      <c r="A232" t="s">
        <v>386</v>
      </c>
      <c r="B232" s="1">
        <v>45346</v>
      </c>
      <c r="C232" s="1" t="str">
        <f>TEXT(Sales_Table[[#This Row],[OrderDate]],"DDDD")</f>
        <v>Saturday</v>
      </c>
      <c r="D232" s="1" t="str">
        <f>TEXT(Sales_Table[[#This Row],[OrderDate]],"MMMM")</f>
        <v>February</v>
      </c>
      <c r="E232" t="s">
        <v>249</v>
      </c>
      <c r="F232" t="s">
        <v>106</v>
      </c>
      <c r="G232">
        <v>4</v>
      </c>
      <c r="H232">
        <v>527.36</v>
      </c>
      <c r="I232" t="str">
        <f>VLOOKUP(Sales_Table[[#This Row],[ProductID]],Product_Table[],2,FALSE)</f>
        <v>Product_14</v>
      </c>
      <c r="J232" t="str">
        <f>VLOOKUP(Sales_Table[[#This Row],[ProductID]],Product_Table[],3,FALSE)</f>
        <v>Electronics</v>
      </c>
      <c r="K232">
        <f>_xlfn.XLOOKUP(Sales_Table[[#This Row],[ProductID]],Product_Table[ProductID],Product_Table[UnitPrice],"NULL",0)</f>
        <v>131.84</v>
      </c>
      <c r="L232" t="str">
        <f>_xlfn.XLOOKUP(Sales_Table[[#This Row],[CustomerID]],Customer_Table[CustomerID],Customer_Table[CustomerName],"NULL",0)</f>
        <v>Customer_15</v>
      </c>
      <c r="M232" t="str">
        <f>INDEX(Customer_Table[Country],MATCH(Sales_Table[[#This Row],[CustomerID]],Customer_Table[CustomerID],0))</f>
        <v>United States</v>
      </c>
      <c r="N232" t="str">
        <f>INDEX(Customer_Table[Email],MATCH(Sales_Table[[#This Row],[CustomerID]],Customer_Table[CustomerID],0))</f>
        <v>customer15@email.com</v>
      </c>
    </row>
    <row r="233" spans="1:14" x14ac:dyDescent="0.3">
      <c r="A233" t="s">
        <v>387</v>
      </c>
      <c r="B233" s="1">
        <v>45358</v>
      </c>
      <c r="C233" s="1" t="str">
        <f>TEXT(Sales_Table[[#This Row],[OrderDate]],"DDDD")</f>
        <v>Thursday</v>
      </c>
      <c r="D233" s="1" t="str">
        <f>TEXT(Sales_Table[[#This Row],[OrderDate]],"MMMM")</f>
        <v>March</v>
      </c>
      <c r="E233" t="s">
        <v>385</v>
      </c>
      <c r="F233" t="s">
        <v>132</v>
      </c>
      <c r="G233">
        <v>3</v>
      </c>
      <c r="H233">
        <v>119.1</v>
      </c>
      <c r="I233" t="str">
        <f>VLOOKUP(Sales_Table[[#This Row],[ProductID]],Product_Table[],2,FALSE)</f>
        <v>Product_12</v>
      </c>
      <c r="J233" t="str">
        <f>VLOOKUP(Sales_Table[[#This Row],[ProductID]],Product_Table[],3,FALSE)</f>
        <v>Electronics</v>
      </c>
      <c r="K233">
        <f>_xlfn.XLOOKUP(Sales_Table[[#This Row],[ProductID]],Product_Table[ProductID],Product_Table[UnitPrice],"NULL",0)</f>
        <v>39.700000000000003</v>
      </c>
      <c r="L233" t="str">
        <f>_xlfn.XLOOKUP(Sales_Table[[#This Row],[CustomerID]],Customer_Table[CustomerID],Customer_Table[CustomerName],"NULL",0)</f>
        <v>Customer_39</v>
      </c>
      <c r="M233" t="str">
        <f>INDEX(Customer_Table[Country],MATCH(Sales_Table[[#This Row],[CustomerID]],Customer_Table[CustomerID],0))</f>
        <v>United States</v>
      </c>
      <c r="N233" t="str">
        <f>INDEX(Customer_Table[Email],MATCH(Sales_Table[[#This Row],[CustomerID]],Customer_Table[CustomerID],0))</f>
        <v>customer39@email.com</v>
      </c>
    </row>
    <row r="234" spans="1:14" x14ac:dyDescent="0.3">
      <c r="A234" t="s">
        <v>388</v>
      </c>
      <c r="B234" s="1">
        <v>45363</v>
      </c>
      <c r="C234" s="1" t="str">
        <f>TEXT(Sales_Table[[#This Row],[OrderDate]],"DDDD")</f>
        <v>Tuesday</v>
      </c>
      <c r="D234" s="1" t="str">
        <f>TEXT(Sales_Table[[#This Row],[OrderDate]],"MMMM")</f>
        <v>March</v>
      </c>
      <c r="E234" t="s">
        <v>149</v>
      </c>
      <c r="F234" t="s">
        <v>168</v>
      </c>
      <c r="G234">
        <v>3</v>
      </c>
      <c r="H234">
        <v>130.74</v>
      </c>
      <c r="I234" t="str">
        <f>VLOOKUP(Sales_Table[[#This Row],[ProductID]],Product_Table[],2,FALSE)</f>
        <v>Product_37</v>
      </c>
      <c r="J234" t="str">
        <f>VLOOKUP(Sales_Table[[#This Row],[ProductID]],Product_Table[],3,FALSE)</f>
        <v>Clothing</v>
      </c>
      <c r="K234">
        <f>_xlfn.XLOOKUP(Sales_Table[[#This Row],[ProductID]],Product_Table[ProductID],Product_Table[UnitPrice],"NULL",0)</f>
        <v>43.58</v>
      </c>
      <c r="L234" t="str">
        <f>_xlfn.XLOOKUP(Sales_Table[[#This Row],[CustomerID]],Customer_Table[CustomerID],Customer_Table[CustomerName],"NULL",0)</f>
        <v>Customer_101</v>
      </c>
      <c r="M234" t="str">
        <f>INDEX(Customer_Table[Country],MATCH(Sales_Table[[#This Row],[CustomerID]],Customer_Table[CustomerID],0))</f>
        <v>India</v>
      </c>
      <c r="N234" t="str">
        <f>INDEX(Customer_Table[Email],MATCH(Sales_Table[[#This Row],[CustomerID]],Customer_Table[CustomerID],0))</f>
        <v>customer101@email.com</v>
      </c>
    </row>
    <row r="235" spans="1:14" x14ac:dyDescent="0.3">
      <c r="A235" t="s">
        <v>389</v>
      </c>
      <c r="B235" s="1">
        <v>45471</v>
      </c>
      <c r="C235" s="1" t="str">
        <f>TEXT(Sales_Table[[#This Row],[OrderDate]],"DDDD")</f>
        <v>Friday</v>
      </c>
      <c r="D235" s="1" t="str">
        <f>TEXT(Sales_Table[[#This Row],[OrderDate]],"MMMM")</f>
        <v>June</v>
      </c>
      <c r="E235" t="s">
        <v>95</v>
      </c>
      <c r="F235" t="s">
        <v>52</v>
      </c>
      <c r="G235">
        <v>5</v>
      </c>
      <c r="H235">
        <v>1363.9</v>
      </c>
      <c r="I235" t="str">
        <f>VLOOKUP(Sales_Table[[#This Row],[ProductID]],Product_Table[],2,FALSE)</f>
        <v>Product_15</v>
      </c>
      <c r="J235" t="str">
        <f>VLOOKUP(Sales_Table[[#This Row],[ProductID]],Product_Table[],3,FALSE)</f>
        <v>Clothing</v>
      </c>
      <c r="K235">
        <f>_xlfn.XLOOKUP(Sales_Table[[#This Row],[ProductID]],Product_Table[ProductID],Product_Table[UnitPrice],"NULL",0)</f>
        <v>272.77999999999997</v>
      </c>
      <c r="L235" t="str">
        <f>_xlfn.XLOOKUP(Sales_Table[[#This Row],[CustomerID]],Customer_Table[CustomerID],Customer_Table[CustomerName],"NULL",0)</f>
        <v>Customer_31</v>
      </c>
      <c r="M235" t="str">
        <f>INDEX(Customer_Table[Country],MATCH(Sales_Table[[#This Row],[CustomerID]],Customer_Table[CustomerID],0))</f>
        <v>United Kingdom</v>
      </c>
      <c r="N235" t="str">
        <f>INDEX(Customer_Table[Email],MATCH(Sales_Table[[#This Row],[CustomerID]],Customer_Table[CustomerID],0))</f>
        <v>customer31@email.com</v>
      </c>
    </row>
    <row r="236" spans="1:14" x14ac:dyDescent="0.3">
      <c r="A236" t="s">
        <v>390</v>
      </c>
      <c r="B236" s="1">
        <v>45434</v>
      </c>
      <c r="C236" s="1" t="str">
        <f>TEXT(Sales_Table[[#This Row],[OrderDate]],"DDDD")</f>
        <v>Wednesday</v>
      </c>
      <c r="D236" s="1" t="str">
        <f>TEXT(Sales_Table[[#This Row],[OrderDate]],"MMMM")</f>
        <v>May</v>
      </c>
      <c r="E236" t="s">
        <v>310</v>
      </c>
      <c r="F236" t="s">
        <v>52</v>
      </c>
      <c r="G236">
        <v>3</v>
      </c>
      <c r="H236">
        <v>818.34</v>
      </c>
      <c r="I236" t="str">
        <f>VLOOKUP(Sales_Table[[#This Row],[ProductID]],Product_Table[],2,FALSE)</f>
        <v>Product_15</v>
      </c>
      <c r="J236" t="str">
        <f>VLOOKUP(Sales_Table[[#This Row],[ProductID]],Product_Table[],3,FALSE)</f>
        <v>Clothing</v>
      </c>
      <c r="K236">
        <f>_xlfn.XLOOKUP(Sales_Table[[#This Row],[ProductID]],Product_Table[ProductID],Product_Table[UnitPrice],"NULL",0)</f>
        <v>272.77999999999997</v>
      </c>
      <c r="L236" t="str">
        <f>_xlfn.XLOOKUP(Sales_Table[[#This Row],[CustomerID]],Customer_Table[CustomerID],Customer_Table[CustomerName],"NULL",0)</f>
        <v>Customer_103</v>
      </c>
      <c r="M236" t="str">
        <f>INDEX(Customer_Table[Country],MATCH(Sales_Table[[#This Row],[CustomerID]],Customer_Table[CustomerID],0))</f>
        <v>United States</v>
      </c>
      <c r="N236" t="str">
        <f>INDEX(Customer_Table[Email],MATCH(Sales_Table[[#This Row],[CustomerID]],Customer_Table[CustomerID],0))</f>
        <v>customer103@email.com</v>
      </c>
    </row>
    <row r="237" spans="1:14" x14ac:dyDescent="0.3">
      <c r="A237" t="s">
        <v>391</v>
      </c>
      <c r="B237" s="1">
        <v>45424</v>
      </c>
      <c r="C237" s="1" t="str">
        <f>TEXT(Sales_Table[[#This Row],[OrderDate]],"DDDD")</f>
        <v>Sunday</v>
      </c>
      <c r="D237" s="1" t="str">
        <f>TEXT(Sales_Table[[#This Row],[OrderDate]],"MMMM")</f>
        <v>May</v>
      </c>
      <c r="E237" t="s">
        <v>392</v>
      </c>
      <c r="F237" t="s">
        <v>25</v>
      </c>
      <c r="G237">
        <v>1</v>
      </c>
      <c r="H237">
        <v>394.46</v>
      </c>
      <c r="I237" t="str">
        <f>VLOOKUP(Sales_Table[[#This Row],[ProductID]],Product_Table[],2,FALSE)</f>
        <v>Product_6</v>
      </c>
      <c r="J237" t="str">
        <f>VLOOKUP(Sales_Table[[#This Row],[ProductID]],Product_Table[],3,FALSE)</f>
        <v>Clothing</v>
      </c>
      <c r="K237">
        <f>_xlfn.XLOOKUP(Sales_Table[[#This Row],[ProductID]],Product_Table[ProductID],Product_Table[UnitPrice],"NULL",0)</f>
        <v>394.46</v>
      </c>
      <c r="L237" t="str">
        <f>_xlfn.XLOOKUP(Sales_Table[[#This Row],[CustomerID]],Customer_Table[CustomerID],Customer_Table[CustomerName],"NULL",0)</f>
        <v>Customer_70</v>
      </c>
      <c r="M237" t="str">
        <f>INDEX(Customer_Table[Country],MATCH(Sales_Table[[#This Row],[CustomerID]],Customer_Table[CustomerID],0))</f>
        <v>India</v>
      </c>
      <c r="N237" t="str">
        <f>INDEX(Customer_Table[Email],MATCH(Sales_Table[[#This Row],[CustomerID]],Customer_Table[CustomerID],0))</f>
        <v>customer70@email.com</v>
      </c>
    </row>
    <row r="238" spans="1:14" x14ac:dyDescent="0.3">
      <c r="A238" t="s">
        <v>393</v>
      </c>
      <c r="B238" s="1">
        <v>45313</v>
      </c>
      <c r="C238" s="1" t="str">
        <f>TEXT(Sales_Table[[#This Row],[OrderDate]],"DDDD")</f>
        <v>Monday</v>
      </c>
      <c r="D238" s="1" t="str">
        <f>TEXT(Sales_Table[[#This Row],[OrderDate]],"MMMM")</f>
        <v>January</v>
      </c>
      <c r="E238" t="s">
        <v>266</v>
      </c>
      <c r="F238" t="s">
        <v>28</v>
      </c>
      <c r="G238">
        <v>2</v>
      </c>
      <c r="H238">
        <v>415.7</v>
      </c>
      <c r="I238" t="str">
        <f>VLOOKUP(Sales_Table[[#This Row],[ProductID]],Product_Table[],2,FALSE)</f>
        <v>Product_39</v>
      </c>
      <c r="J238" t="str">
        <f>VLOOKUP(Sales_Table[[#This Row],[ProductID]],Product_Table[],3,FALSE)</f>
        <v>Clothing</v>
      </c>
      <c r="K238">
        <f>_xlfn.XLOOKUP(Sales_Table[[#This Row],[ProductID]],Product_Table[ProductID],Product_Table[UnitPrice],"NULL",0)</f>
        <v>207.85</v>
      </c>
      <c r="L238" t="str">
        <f>_xlfn.XLOOKUP(Sales_Table[[#This Row],[CustomerID]],Customer_Table[CustomerID],Customer_Table[CustomerName],"NULL",0)</f>
        <v>Customer_45</v>
      </c>
      <c r="M238" t="str">
        <f>INDEX(Customer_Table[Country],MATCH(Sales_Table[[#This Row],[CustomerID]],Customer_Table[CustomerID],0))</f>
        <v>Canada</v>
      </c>
      <c r="N238" t="str">
        <f>INDEX(Customer_Table[Email],MATCH(Sales_Table[[#This Row],[CustomerID]],Customer_Table[CustomerID],0))</f>
        <v>customer45@email.com</v>
      </c>
    </row>
    <row r="239" spans="1:14" x14ac:dyDescent="0.3">
      <c r="A239" t="s">
        <v>394</v>
      </c>
      <c r="B239" s="1">
        <v>45396</v>
      </c>
      <c r="C239" s="1" t="str">
        <f>TEXT(Sales_Table[[#This Row],[OrderDate]],"DDDD")</f>
        <v>Sunday</v>
      </c>
      <c r="D239" s="1" t="str">
        <f>TEXT(Sales_Table[[#This Row],[OrderDate]],"MMMM")</f>
        <v>April</v>
      </c>
      <c r="E239" t="s">
        <v>21</v>
      </c>
      <c r="F239" t="s">
        <v>57</v>
      </c>
      <c r="G239">
        <v>2</v>
      </c>
      <c r="H239">
        <v>587.6</v>
      </c>
      <c r="I239" t="str">
        <f>VLOOKUP(Sales_Table[[#This Row],[ProductID]],Product_Table[],2,FALSE)</f>
        <v>Product_31</v>
      </c>
      <c r="J239" t="str">
        <f>VLOOKUP(Sales_Table[[#This Row],[ProductID]],Product_Table[],3,FALSE)</f>
        <v>Electronics</v>
      </c>
      <c r="K239">
        <f>_xlfn.XLOOKUP(Sales_Table[[#This Row],[ProductID]],Product_Table[ProductID],Product_Table[UnitPrice],"NULL",0)</f>
        <v>293.8</v>
      </c>
      <c r="L239" t="str">
        <f>_xlfn.XLOOKUP(Sales_Table[[#This Row],[CustomerID]],Customer_Table[CustomerID],Customer_Table[CustomerName],"NULL",0)</f>
        <v>Customer_91</v>
      </c>
      <c r="M239" t="str">
        <f>INDEX(Customer_Table[Country],MATCH(Sales_Table[[#This Row],[CustomerID]],Customer_Table[CustomerID],0))</f>
        <v>Canada</v>
      </c>
      <c r="N239" t="str">
        <f>INDEX(Customer_Table[Email],MATCH(Sales_Table[[#This Row],[CustomerID]],Customer_Table[CustomerID],0))</f>
        <v>customer91@email.com</v>
      </c>
    </row>
    <row r="240" spans="1:14" x14ac:dyDescent="0.3">
      <c r="A240" t="s">
        <v>395</v>
      </c>
      <c r="B240" s="1">
        <v>45434</v>
      </c>
      <c r="C240" s="1" t="str">
        <f>TEXT(Sales_Table[[#This Row],[OrderDate]],"DDDD")</f>
        <v>Wednesday</v>
      </c>
      <c r="D240" s="1" t="str">
        <f>TEXT(Sales_Table[[#This Row],[OrderDate]],"MMMM")</f>
        <v>May</v>
      </c>
      <c r="E240" t="s">
        <v>396</v>
      </c>
      <c r="F240" t="s">
        <v>49</v>
      </c>
      <c r="G240">
        <v>4</v>
      </c>
      <c r="H240">
        <v>152.04</v>
      </c>
      <c r="I240" t="str">
        <f>VLOOKUP(Sales_Table[[#This Row],[ProductID]],Product_Table[],2,FALSE)</f>
        <v>Product_33</v>
      </c>
      <c r="J240" t="str">
        <f>VLOOKUP(Sales_Table[[#This Row],[ProductID]],Product_Table[],3,FALSE)</f>
        <v>Home</v>
      </c>
      <c r="K240">
        <f>_xlfn.XLOOKUP(Sales_Table[[#This Row],[ProductID]],Product_Table[ProductID],Product_Table[UnitPrice],"NULL",0)</f>
        <v>38.01</v>
      </c>
      <c r="L240" t="str">
        <f>_xlfn.XLOOKUP(Sales_Table[[#This Row],[CustomerID]],Customer_Table[CustomerID],Customer_Table[CustomerName],"NULL",0)</f>
        <v>Customer_109</v>
      </c>
      <c r="M240" t="str">
        <f>INDEX(Customer_Table[Country],MATCH(Sales_Table[[#This Row],[CustomerID]],Customer_Table[CustomerID],0))</f>
        <v>India</v>
      </c>
      <c r="N240" t="str">
        <f>INDEX(Customer_Table[Email],MATCH(Sales_Table[[#This Row],[CustomerID]],Customer_Table[CustomerID],0))</f>
        <v>customer109@email.com</v>
      </c>
    </row>
    <row r="241" spans="1:14" x14ac:dyDescent="0.3">
      <c r="A241" t="s">
        <v>397</v>
      </c>
      <c r="B241" s="1">
        <v>45468</v>
      </c>
      <c r="C241" s="1" t="str">
        <f>TEXT(Sales_Table[[#This Row],[OrderDate]],"DDDD")</f>
        <v>Tuesday</v>
      </c>
      <c r="D241" s="1" t="str">
        <f>TEXT(Sales_Table[[#This Row],[OrderDate]],"MMMM")</f>
        <v>June</v>
      </c>
      <c r="E241" t="s">
        <v>253</v>
      </c>
      <c r="F241" t="s">
        <v>204</v>
      </c>
      <c r="G241">
        <v>2</v>
      </c>
      <c r="H241">
        <v>491.74</v>
      </c>
      <c r="I241" t="str">
        <f>VLOOKUP(Sales_Table[[#This Row],[ProductID]],Product_Table[],2,FALSE)</f>
        <v>Product_23</v>
      </c>
      <c r="J241" t="str">
        <f>VLOOKUP(Sales_Table[[#This Row],[ProductID]],Product_Table[],3,FALSE)</f>
        <v>Beauty</v>
      </c>
      <c r="K241">
        <f>_xlfn.XLOOKUP(Sales_Table[[#This Row],[ProductID]],Product_Table[ProductID],Product_Table[UnitPrice],"NULL",0)</f>
        <v>245.87</v>
      </c>
      <c r="L241" t="str">
        <f>_xlfn.XLOOKUP(Sales_Table[[#This Row],[CustomerID]],Customer_Table[CustomerID],Customer_Table[CustomerName],"NULL",0)</f>
        <v>Customer_8</v>
      </c>
      <c r="M241" t="str">
        <f>INDEX(Customer_Table[Country],MATCH(Sales_Table[[#This Row],[CustomerID]],Customer_Table[CustomerID],0))</f>
        <v>United Kingdom</v>
      </c>
      <c r="N241" t="str">
        <f>INDEX(Customer_Table[Email],MATCH(Sales_Table[[#This Row],[CustomerID]],Customer_Table[CustomerID],0))</f>
        <v>customer8@email.com</v>
      </c>
    </row>
    <row r="242" spans="1:14" x14ac:dyDescent="0.3">
      <c r="A242" t="s">
        <v>398</v>
      </c>
      <c r="B242" s="1">
        <v>45457</v>
      </c>
      <c r="C242" s="1" t="str">
        <f>TEXT(Sales_Table[[#This Row],[OrderDate]],"DDDD")</f>
        <v>Friday</v>
      </c>
      <c r="D242" s="1" t="str">
        <f>TEXT(Sales_Table[[#This Row],[OrderDate]],"MMMM")</f>
        <v>June</v>
      </c>
      <c r="E242" t="s">
        <v>399</v>
      </c>
      <c r="F242" t="s">
        <v>140</v>
      </c>
      <c r="G242">
        <v>4</v>
      </c>
      <c r="H242">
        <v>1351.2</v>
      </c>
      <c r="I242" t="str">
        <f>VLOOKUP(Sales_Table[[#This Row],[ProductID]],Product_Table[],2,FALSE)</f>
        <v>Product_3</v>
      </c>
      <c r="J242" t="str">
        <f>VLOOKUP(Sales_Table[[#This Row],[ProductID]],Product_Table[],3,FALSE)</f>
        <v>Home</v>
      </c>
      <c r="K242">
        <f>_xlfn.XLOOKUP(Sales_Table[[#This Row],[ProductID]],Product_Table[ProductID],Product_Table[UnitPrice],"NULL",0)</f>
        <v>337.8</v>
      </c>
      <c r="L242" t="str">
        <f>_xlfn.XLOOKUP(Sales_Table[[#This Row],[CustomerID]],Customer_Table[CustomerID],Customer_Table[CustomerName],"NULL",0)</f>
        <v>Customer_117</v>
      </c>
      <c r="M242" t="str">
        <f>INDEX(Customer_Table[Country],MATCH(Sales_Table[[#This Row],[CustomerID]],Customer_Table[CustomerID],0))</f>
        <v>United Kingdom</v>
      </c>
      <c r="N242" t="str">
        <f>INDEX(Customer_Table[Email],MATCH(Sales_Table[[#This Row],[CustomerID]],Customer_Table[CustomerID],0))</f>
        <v>customer117@email.com</v>
      </c>
    </row>
    <row r="243" spans="1:14" x14ac:dyDescent="0.3">
      <c r="A243" t="s">
        <v>400</v>
      </c>
      <c r="B243" s="1">
        <v>45406</v>
      </c>
      <c r="C243" s="1" t="str">
        <f>TEXT(Sales_Table[[#This Row],[OrderDate]],"DDDD")</f>
        <v>Wednesday</v>
      </c>
      <c r="D243" s="1" t="str">
        <f>TEXT(Sales_Table[[#This Row],[OrderDate]],"MMMM")</f>
        <v>April</v>
      </c>
      <c r="E243" t="s">
        <v>241</v>
      </c>
      <c r="F243" t="s">
        <v>31</v>
      </c>
      <c r="G243">
        <v>4</v>
      </c>
      <c r="H243">
        <v>413.2</v>
      </c>
      <c r="I243" t="str">
        <f>VLOOKUP(Sales_Table[[#This Row],[ProductID]],Product_Table[],2,FALSE)</f>
        <v>Product_7</v>
      </c>
      <c r="J243" t="str">
        <f>VLOOKUP(Sales_Table[[#This Row],[ProductID]],Product_Table[],3,FALSE)</f>
        <v>Beauty</v>
      </c>
      <c r="K243">
        <f>_xlfn.XLOOKUP(Sales_Table[[#This Row],[ProductID]],Product_Table[ProductID],Product_Table[UnitPrice],"NULL",0)</f>
        <v>103.3</v>
      </c>
      <c r="L243" t="str">
        <f>_xlfn.XLOOKUP(Sales_Table[[#This Row],[CustomerID]],Customer_Table[CustomerID],Customer_Table[CustomerName],"NULL",0)</f>
        <v>Customer_119</v>
      </c>
      <c r="M243" t="str">
        <f>INDEX(Customer_Table[Country],MATCH(Sales_Table[[#This Row],[CustomerID]],Customer_Table[CustomerID],0))</f>
        <v>India</v>
      </c>
      <c r="N243" t="str">
        <f>INDEX(Customer_Table[Email],MATCH(Sales_Table[[#This Row],[CustomerID]],Customer_Table[CustomerID],0))</f>
        <v>customer119@email.com</v>
      </c>
    </row>
    <row r="244" spans="1:14" x14ac:dyDescent="0.3">
      <c r="A244" t="s">
        <v>401</v>
      </c>
      <c r="B244" s="1">
        <v>45315</v>
      </c>
      <c r="C244" s="1" t="str">
        <f>TEXT(Sales_Table[[#This Row],[OrderDate]],"DDDD")</f>
        <v>Wednesday</v>
      </c>
      <c r="D244" s="1" t="str">
        <f>TEXT(Sales_Table[[#This Row],[OrderDate]],"MMMM")</f>
        <v>January</v>
      </c>
      <c r="E244" t="s">
        <v>51</v>
      </c>
      <c r="F244" t="s">
        <v>111</v>
      </c>
      <c r="G244">
        <v>1</v>
      </c>
      <c r="H244">
        <v>139.94999999999999</v>
      </c>
      <c r="I244" t="str">
        <f>VLOOKUP(Sales_Table[[#This Row],[ProductID]],Product_Table[],2,FALSE)</f>
        <v>Product_26</v>
      </c>
      <c r="J244" t="str">
        <f>VLOOKUP(Sales_Table[[#This Row],[ProductID]],Product_Table[],3,FALSE)</f>
        <v>Beauty</v>
      </c>
      <c r="K244">
        <f>_xlfn.XLOOKUP(Sales_Table[[#This Row],[ProductID]],Product_Table[ProductID],Product_Table[UnitPrice],"NULL",0)</f>
        <v>139.94999999999999</v>
      </c>
      <c r="L244" t="str">
        <f>_xlfn.XLOOKUP(Sales_Table[[#This Row],[CustomerID]],Customer_Table[CustomerID],Customer_Table[CustomerName],"NULL",0)</f>
        <v>Customer_53</v>
      </c>
      <c r="M244" t="str">
        <f>INDEX(Customer_Table[Country],MATCH(Sales_Table[[#This Row],[CustomerID]],Customer_Table[CustomerID],0))</f>
        <v>United States</v>
      </c>
      <c r="N244" t="str">
        <f>INDEX(Customer_Table[Email],MATCH(Sales_Table[[#This Row],[CustomerID]],Customer_Table[CustomerID],0))</f>
        <v>customer53@email.com</v>
      </c>
    </row>
    <row r="245" spans="1:14" x14ac:dyDescent="0.3">
      <c r="A245" t="s">
        <v>402</v>
      </c>
      <c r="B245" s="1">
        <v>45348</v>
      </c>
      <c r="C245" s="1" t="str">
        <f>TEXT(Sales_Table[[#This Row],[OrderDate]],"DDDD")</f>
        <v>Monday</v>
      </c>
      <c r="D245" s="1" t="str">
        <f>TEXT(Sales_Table[[#This Row],[OrderDate]],"MMMM")</f>
        <v>February</v>
      </c>
      <c r="E245" t="s">
        <v>342</v>
      </c>
      <c r="F245" t="s">
        <v>137</v>
      </c>
      <c r="G245">
        <v>3</v>
      </c>
      <c r="H245">
        <v>350.01</v>
      </c>
      <c r="I245" t="str">
        <f>VLOOKUP(Sales_Table[[#This Row],[ProductID]],Product_Table[],2,FALSE)</f>
        <v>Product_30</v>
      </c>
      <c r="J245" t="str">
        <f>VLOOKUP(Sales_Table[[#This Row],[ProductID]],Product_Table[],3,FALSE)</f>
        <v>Home</v>
      </c>
      <c r="K245">
        <f>_xlfn.XLOOKUP(Sales_Table[[#This Row],[ProductID]],Product_Table[ProductID],Product_Table[UnitPrice],"NULL",0)</f>
        <v>116.67</v>
      </c>
      <c r="L245" t="str">
        <f>_xlfn.XLOOKUP(Sales_Table[[#This Row],[CustomerID]],Customer_Table[CustomerID],Customer_Table[CustomerName],"NULL",0)</f>
        <v>Customer_68</v>
      </c>
      <c r="M245" t="str">
        <f>INDEX(Customer_Table[Country],MATCH(Sales_Table[[#This Row],[CustomerID]],Customer_Table[CustomerID],0))</f>
        <v>United Kingdom</v>
      </c>
      <c r="N245" t="str">
        <f>INDEX(Customer_Table[Email],MATCH(Sales_Table[[#This Row],[CustomerID]],Customer_Table[CustomerID],0))</f>
        <v>customer68@email.com</v>
      </c>
    </row>
    <row r="246" spans="1:14" x14ac:dyDescent="0.3">
      <c r="A246" t="s">
        <v>403</v>
      </c>
      <c r="B246" s="1">
        <v>45469</v>
      </c>
      <c r="C246" s="1" t="str">
        <f>TEXT(Sales_Table[[#This Row],[OrderDate]],"DDDD")</f>
        <v>Wednesday</v>
      </c>
      <c r="D246" s="1" t="str">
        <f>TEXT(Sales_Table[[#This Row],[OrderDate]],"MMMM")</f>
        <v>June</v>
      </c>
      <c r="E246" t="s">
        <v>404</v>
      </c>
      <c r="F246" t="s">
        <v>268</v>
      </c>
      <c r="G246">
        <v>4</v>
      </c>
      <c r="H246">
        <v>782.8</v>
      </c>
      <c r="I246" t="str">
        <f>VLOOKUP(Sales_Table[[#This Row],[ProductID]],Product_Table[],2,FALSE)</f>
        <v>Product_25</v>
      </c>
      <c r="J246" t="str">
        <f>VLOOKUP(Sales_Table[[#This Row],[ProductID]],Product_Table[],3,FALSE)</f>
        <v>Clothing</v>
      </c>
      <c r="K246">
        <f>_xlfn.XLOOKUP(Sales_Table[[#This Row],[ProductID]],Product_Table[ProductID],Product_Table[UnitPrice],"NULL",0)</f>
        <v>195.7</v>
      </c>
      <c r="L246" t="str">
        <f>_xlfn.XLOOKUP(Sales_Table[[#This Row],[CustomerID]],Customer_Table[CustomerID],Customer_Table[CustomerName],"NULL",0)</f>
        <v>Customer_95</v>
      </c>
      <c r="M246" t="str">
        <f>INDEX(Customer_Table[Country],MATCH(Sales_Table[[#This Row],[CustomerID]],Customer_Table[CustomerID],0))</f>
        <v>United States</v>
      </c>
      <c r="N246" t="str">
        <f>INDEX(Customer_Table[Email],MATCH(Sales_Table[[#This Row],[CustomerID]],Customer_Table[CustomerID],0))</f>
        <v>customer95@email.com</v>
      </c>
    </row>
    <row r="247" spans="1:14" x14ac:dyDescent="0.3">
      <c r="A247" t="s">
        <v>405</v>
      </c>
      <c r="B247" s="1">
        <v>45370</v>
      </c>
      <c r="C247" s="1" t="str">
        <f>TEXT(Sales_Table[[#This Row],[OrderDate]],"DDDD")</f>
        <v>Tuesday</v>
      </c>
      <c r="D247" s="1" t="str">
        <f>TEXT(Sales_Table[[#This Row],[OrderDate]],"MMMM")</f>
        <v>March</v>
      </c>
      <c r="E247" t="s">
        <v>243</v>
      </c>
      <c r="F247" t="s">
        <v>60</v>
      </c>
      <c r="G247">
        <v>2</v>
      </c>
      <c r="H247">
        <v>171.7</v>
      </c>
      <c r="I247" t="str">
        <f>VLOOKUP(Sales_Table[[#This Row],[ProductID]],Product_Table[],2,FALSE)</f>
        <v>Product_29</v>
      </c>
      <c r="J247" t="str">
        <f>VLOOKUP(Sales_Table[[#This Row],[ProductID]],Product_Table[],3,FALSE)</f>
        <v>Beauty</v>
      </c>
      <c r="K247">
        <f>_xlfn.XLOOKUP(Sales_Table[[#This Row],[ProductID]],Product_Table[ProductID],Product_Table[UnitPrice],"NULL",0)</f>
        <v>85.85</v>
      </c>
      <c r="L247" t="str">
        <f>_xlfn.XLOOKUP(Sales_Table[[#This Row],[CustomerID]],Customer_Table[CustomerID],Customer_Table[CustomerName],"NULL",0)</f>
        <v>Customer_47</v>
      </c>
      <c r="M247" t="str">
        <f>INDEX(Customer_Table[Country],MATCH(Sales_Table[[#This Row],[CustomerID]],Customer_Table[CustomerID],0))</f>
        <v>United States</v>
      </c>
      <c r="N247" t="str">
        <f>INDEX(Customer_Table[Email],MATCH(Sales_Table[[#This Row],[CustomerID]],Customer_Table[CustomerID],0))</f>
        <v>customer47@email.com</v>
      </c>
    </row>
    <row r="248" spans="1:14" x14ac:dyDescent="0.3">
      <c r="A248" t="s">
        <v>406</v>
      </c>
      <c r="B248" s="1">
        <v>45386</v>
      </c>
      <c r="C248" s="1" t="str">
        <f>TEXT(Sales_Table[[#This Row],[OrderDate]],"DDDD")</f>
        <v>Thursday</v>
      </c>
      <c r="D248" s="1" t="str">
        <f>TEXT(Sales_Table[[#This Row],[OrderDate]],"MMMM")</f>
        <v>April</v>
      </c>
      <c r="E248" t="s">
        <v>272</v>
      </c>
      <c r="F248" t="s">
        <v>312</v>
      </c>
      <c r="G248">
        <v>5</v>
      </c>
      <c r="H248">
        <v>1371.1</v>
      </c>
      <c r="I248" t="str">
        <f>VLOOKUP(Sales_Table[[#This Row],[ProductID]],Product_Table[],2,FALSE)</f>
        <v>Product_4</v>
      </c>
      <c r="J248" t="str">
        <f>VLOOKUP(Sales_Table[[#This Row],[ProductID]],Product_Table[],3,FALSE)</f>
        <v>Clothing</v>
      </c>
      <c r="K248">
        <f>_xlfn.XLOOKUP(Sales_Table[[#This Row],[ProductID]],Product_Table[ProductID],Product_Table[UnitPrice],"NULL",0)</f>
        <v>274.22000000000003</v>
      </c>
      <c r="L248" t="str">
        <f>_xlfn.XLOOKUP(Sales_Table[[#This Row],[CustomerID]],Customer_Table[CustomerID],Customer_Table[CustomerName],"NULL",0)</f>
        <v>Customer_67</v>
      </c>
      <c r="M248" t="str">
        <f>INDEX(Customer_Table[Country],MATCH(Sales_Table[[#This Row],[CustomerID]],Customer_Table[CustomerID],0))</f>
        <v>Canada</v>
      </c>
      <c r="N248" t="str">
        <f>INDEX(Customer_Table[Email],MATCH(Sales_Table[[#This Row],[CustomerID]],Customer_Table[CustomerID],0))</f>
        <v>customer67@email.com</v>
      </c>
    </row>
    <row r="249" spans="1:14" x14ac:dyDescent="0.3">
      <c r="A249" t="s">
        <v>407</v>
      </c>
      <c r="B249" s="1">
        <v>45433</v>
      </c>
      <c r="C249" s="1" t="str">
        <f>TEXT(Sales_Table[[#This Row],[OrderDate]],"DDDD")</f>
        <v>Tuesday</v>
      </c>
      <c r="D249" s="1" t="str">
        <f>TEXT(Sales_Table[[#This Row],[OrderDate]],"MMMM")</f>
        <v>May</v>
      </c>
      <c r="E249" t="s">
        <v>331</v>
      </c>
      <c r="F249" t="s">
        <v>22</v>
      </c>
      <c r="G249">
        <v>4</v>
      </c>
      <c r="H249">
        <v>946.76</v>
      </c>
      <c r="I249" t="str">
        <f>VLOOKUP(Sales_Table[[#This Row],[ProductID]],Product_Table[],2,FALSE)</f>
        <v>Product_17</v>
      </c>
      <c r="J249" t="str">
        <f>VLOOKUP(Sales_Table[[#This Row],[ProductID]],Product_Table[],3,FALSE)</f>
        <v>Home</v>
      </c>
      <c r="K249">
        <f>_xlfn.XLOOKUP(Sales_Table[[#This Row],[ProductID]],Product_Table[ProductID],Product_Table[UnitPrice],"NULL",0)</f>
        <v>236.69</v>
      </c>
      <c r="L249" t="str">
        <f>_xlfn.XLOOKUP(Sales_Table[[#This Row],[CustomerID]],Customer_Table[CustomerID],Customer_Table[CustomerName],"NULL",0)</f>
        <v>Customer_22</v>
      </c>
      <c r="M249" t="str">
        <f>INDEX(Customer_Table[Country],MATCH(Sales_Table[[#This Row],[CustomerID]],Customer_Table[CustomerID],0))</f>
        <v>United States</v>
      </c>
      <c r="N249" t="str">
        <f>INDEX(Customer_Table[Email],MATCH(Sales_Table[[#This Row],[CustomerID]],Customer_Table[CustomerID],0))</f>
        <v>customer22@email.com</v>
      </c>
    </row>
    <row r="250" spans="1:14" x14ac:dyDescent="0.3">
      <c r="A250" t="s">
        <v>408</v>
      </c>
      <c r="B250" s="1">
        <v>45380</v>
      </c>
      <c r="C250" s="1" t="str">
        <f>TEXT(Sales_Table[[#This Row],[OrderDate]],"DDDD")</f>
        <v>Friday</v>
      </c>
      <c r="D250" s="1" t="str">
        <f>TEXT(Sales_Table[[#This Row],[OrderDate]],"MMMM")</f>
        <v>March</v>
      </c>
      <c r="E250" t="s">
        <v>97</v>
      </c>
      <c r="F250" t="s">
        <v>63</v>
      </c>
      <c r="G250">
        <v>5</v>
      </c>
      <c r="H250">
        <v>653.25</v>
      </c>
      <c r="I250" t="str">
        <f>VLOOKUP(Sales_Table[[#This Row],[ProductID]],Product_Table[],2,FALSE)</f>
        <v>Product_40</v>
      </c>
      <c r="J250" t="str">
        <f>VLOOKUP(Sales_Table[[#This Row],[ProductID]],Product_Table[],3,FALSE)</f>
        <v>Sports</v>
      </c>
      <c r="K250">
        <f>_xlfn.XLOOKUP(Sales_Table[[#This Row],[ProductID]],Product_Table[ProductID],Product_Table[UnitPrice],"NULL",0)</f>
        <v>130.65</v>
      </c>
      <c r="L250" t="str">
        <f>_xlfn.XLOOKUP(Sales_Table[[#This Row],[CustomerID]],Customer_Table[CustomerID],Customer_Table[CustomerName],"NULL",0)</f>
        <v>Customer_2</v>
      </c>
      <c r="M250" t="str">
        <f>INDEX(Customer_Table[Country],MATCH(Sales_Table[[#This Row],[CustomerID]],Customer_Table[CustomerID],0))</f>
        <v>United Kingdom</v>
      </c>
      <c r="N250" t="str">
        <f>INDEX(Customer_Table[Email],MATCH(Sales_Table[[#This Row],[CustomerID]],Customer_Table[CustomerID],0))</f>
        <v>customer2@email.com</v>
      </c>
    </row>
    <row r="251" spans="1:14" x14ac:dyDescent="0.3">
      <c r="A251" t="s">
        <v>409</v>
      </c>
      <c r="B251" s="1">
        <v>45432</v>
      </c>
      <c r="C251" s="1" t="str">
        <f>TEXT(Sales_Table[[#This Row],[OrderDate]],"DDDD")</f>
        <v>Monday</v>
      </c>
      <c r="D251" s="1" t="str">
        <f>TEXT(Sales_Table[[#This Row],[OrderDate]],"MMMM")</f>
        <v>May</v>
      </c>
      <c r="E251" t="s">
        <v>27</v>
      </c>
      <c r="F251" t="s">
        <v>239</v>
      </c>
      <c r="G251">
        <v>4</v>
      </c>
      <c r="H251">
        <v>974.52</v>
      </c>
      <c r="I251" t="str">
        <f>VLOOKUP(Sales_Table[[#This Row],[ProductID]],Product_Table[],2,FALSE)</f>
        <v>Product_34</v>
      </c>
      <c r="J251" t="str">
        <f>VLOOKUP(Sales_Table[[#This Row],[ProductID]],Product_Table[],3,FALSE)</f>
        <v>Sports</v>
      </c>
      <c r="K251">
        <f>_xlfn.XLOOKUP(Sales_Table[[#This Row],[ProductID]],Product_Table[ProductID],Product_Table[UnitPrice],"NULL",0)</f>
        <v>243.63</v>
      </c>
      <c r="L251" t="str">
        <f>_xlfn.XLOOKUP(Sales_Table[[#This Row],[CustomerID]],Customer_Table[CustomerID],Customer_Table[CustomerName],"NULL",0)</f>
        <v>Customer_18</v>
      </c>
      <c r="M251" t="str">
        <f>INDEX(Customer_Table[Country],MATCH(Sales_Table[[#This Row],[CustomerID]],Customer_Table[CustomerID],0))</f>
        <v>United States</v>
      </c>
      <c r="N251" t="str">
        <f>INDEX(Customer_Table[Email],MATCH(Sales_Table[[#This Row],[CustomerID]],Customer_Table[CustomerID],0))</f>
        <v>customer18@email.com</v>
      </c>
    </row>
    <row r="252" spans="1:14" x14ac:dyDescent="0.3">
      <c r="A252" t="s">
        <v>410</v>
      </c>
      <c r="B252" s="1">
        <v>45382</v>
      </c>
      <c r="C252" s="1" t="str">
        <f>TEXT(Sales_Table[[#This Row],[OrderDate]],"DDDD")</f>
        <v>Sunday</v>
      </c>
      <c r="D252" s="1" t="str">
        <f>TEXT(Sales_Table[[#This Row],[OrderDate]],"MMMM")</f>
        <v>March</v>
      </c>
      <c r="E252" t="s">
        <v>167</v>
      </c>
      <c r="F252" t="s">
        <v>239</v>
      </c>
      <c r="G252">
        <v>3</v>
      </c>
      <c r="H252">
        <v>730.89</v>
      </c>
      <c r="I252" t="str">
        <f>VLOOKUP(Sales_Table[[#This Row],[ProductID]],Product_Table[],2,FALSE)</f>
        <v>Product_34</v>
      </c>
      <c r="J252" t="str">
        <f>VLOOKUP(Sales_Table[[#This Row],[ProductID]],Product_Table[],3,FALSE)</f>
        <v>Sports</v>
      </c>
      <c r="K252">
        <f>_xlfn.XLOOKUP(Sales_Table[[#This Row],[ProductID]],Product_Table[ProductID],Product_Table[UnitPrice],"NULL",0)</f>
        <v>243.63</v>
      </c>
      <c r="L252" t="str">
        <f>_xlfn.XLOOKUP(Sales_Table[[#This Row],[CustomerID]],Customer_Table[CustomerID],Customer_Table[CustomerName],"NULL",0)</f>
        <v>Customer_79</v>
      </c>
      <c r="M252" t="str">
        <f>INDEX(Customer_Table[Country],MATCH(Sales_Table[[#This Row],[CustomerID]],Customer_Table[CustomerID],0))</f>
        <v>United States</v>
      </c>
      <c r="N252" t="str">
        <f>INDEX(Customer_Table[Email],MATCH(Sales_Table[[#This Row],[CustomerID]],Customer_Table[CustomerID],0))</f>
        <v>customer79@email.com</v>
      </c>
    </row>
    <row r="253" spans="1:14" x14ac:dyDescent="0.3">
      <c r="A253" t="s">
        <v>411</v>
      </c>
      <c r="B253" s="1">
        <v>45361</v>
      </c>
      <c r="C253" s="1" t="str">
        <f>TEXT(Sales_Table[[#This Row],[OrderDate]],"DDDD")</f>
        <v>Sunday</v>
      </c>
      <c r="D253" s="1" t="str">
        <f>TEXT(Sales_Table[[#This Row],[OrderDate]],"MMMM")</f>
        <v>March</v>
      </c>
      <c r="E253" t="s">
        <v>82</v>
      </c>
      <c r="F253" t="s">
        <v>71</v>
      </c>
      <c r="G253">
        <v>4</v>
      </c>
      <c r="H253">
        <v>231.92</v>
      </c>
      <c r="I253" t="str">
        <f>VLOOKUP(Sales_Table[[#This Row],[ProductID]],Product_Table[],2,FALSE)</f>
        <v>Product_19</v>
      </c>
      <c r="J253" t="str">
        <f>VLOOKUP(Sales_Table[[#This Row],[ProductID]],Product_Table[],3,FALSE)</f>
        <v>Sports</v>
      </c>
      <c r="K253">
        <f>_xlfn.XLOOKUP(Sales_Table[[#This Row],[ProductID]],Product_Table[ProductID],Product_Table[UnitPrice],"NULL",0)</f>
        <v>57.98</v>
      </c>
      <c r="L253" t="str">
        <f>_xlfn.XLOOKUP(Sales_Table[[#This Row],[CustomerID]],Customer_Table[CustomerID],Customer_Table[CustomerName],"NULL",0)</f>
        <v>Customer_1</v>
      </c>
      <c r="M253" t="str">
        <f>INDEX(Customer_Table[Country],MATCH(Sales_Table[[#This Row],[CustomerID]],Customer_Table[CustomerID],0))</f>
        <v>India</v>
      </c>
      <c r="N253" t="str">
        <f>INDEX(Customer_Table[Email],MATCH(Sales_Table[[#This Row],[CustomerID]],Customer_Table[CustomerID],0))</f>
        <v>customer1@email.com</v>
      </c>
    </row>
    <row r="254" spans="1:14" x14ac:dyDescent="0.3">
      <c r="A254" t="s">
        <v>412</v>
      </c>
      <c r="B254" s="1">
        <v>45356</v>
      </c>
      <c r="C254" s="1" t="str">
        <f>TEXT(Sales_Table[[#This Row],[OrderDate]],"DDDD")</f>
        <v>Tuesday</v>
      </c>
      <c r="D254" s="1" t="str">
        <f>TEXT(Sales_Table[[#This Row],[OrderDate]],"MMMM")</f>
        <v>March</v>
      </c>
      <c r="E254" t="s">
        <v>101</v>
      </c>
      <c r="F254" t="s">
        <v>106</v>
      </c>
      <c r="G254">
        <v>3</v>
      </c>
      <c r="H254">
        <v>395.52</v>
      </c>
      <c r="I254" t="str">
        <f>VLOOKUP(Sales_Table[[#This Row],[ProductID]],Product_Table[],2,FALSE)</f>
        <v>Product_14</v>
      </c>
      <c r="J254" t="str">
        <f>VLOOKUP(Sales_Table[[#This Row],[ProductID]],Product_Table[],3,FALSE)</f>
        <v>Electronics</v>
      </c>
      <c r="K254">
        <f>_xlfn.XLOOKUP(Sales_Table[[#This Row],[ProductID]],Product_Table[ProductID],Product_Table[UnitPrice],"NULL",0)</f>
        <v>131.84</v>
      </c>
      <c r="L254" t="str">
        <f>_xlfn.XLOOKUP(Sales_Table[[#This Row],[CustomerID]],Customer_Table[CustomerID],Customer_Table[CustomerName],"NULL",0)</f>
        <v>Customer_73</v>
      </c>
      <c r="M254" t="str">
        <f>INDEX(Customer_Table[Country],MATCH(Sales_Table[[#This Row],[CustomerID]],Customer_Table[CustomerID],0))</f>
        <v>United States</v>
      </c>
      <c r="N254" t="str">
        <f>INDEX(Customer_Table[Email],MATCH(Sales_Table[[#This Row],[CustomerID]],Customer_Table[CustomerID],0))</f>
        <v>customer73@email.com</v>
      </c>
    </row>
    <row r="255" spans="1:14" x14ac:dyDescent="0.3">
      <c r="A255" t="s">
        <v>413</v>
      </c>
      <c r="B255" s="1">
        <v>45322</v>
      </c>
      <c r="C255" s="1" t="str">
        <f>TEXT(Sales_Table[[#This Row],[OrderDate]],"DDDD")</f>
        <v>Wednesday</v>
      </c>
      <c r="D255" s="1" t="str">
        <f>TEXT(Sales_Table[[#This Row],[OrderDate]],"MMMM")</f>
        <v>January</v>
      </c>
      <c r="E255" t="s">
        <v>75</v>
      </c>
      <c r="F255" t="s">
        <v>168</v>
      </c>
      <c r="G255">
        <v>2</v>
      </c>
      <c r="H255">
        <v>87.16</v>
      </c>
      <c r="I255" t="str">
        <f>VLOOKUP(Sales_Table[[#This Row],[ProductID]],Product_Table[],2,FALSE)</f>
        <v>Product_37</v>
      </c>
      <c r="J255" t="str">
        <f>VLOOKUP(Sales_Table[[#This Row],[ProductID]],Product_Table[],3,FALSE)</f>
        <v>Clothing</v>
      </c>
      <c r="K255">
        <f>_xlfn.XLOOKUP(Sales_Table[[#This Row],[ProductID]],Product_Table[ProductID],Product_Table[UnitPrice],"NULL",0)</f>
        <v>43.58</v>
      </c>
      <c r="L255" t="str">
        <f>_xlfn.XLOOKUP(Sales_Table[[#This Row],[CustomerID]],Customer_Table[CustomerID],Customer_Table[CustomerName],"NULL",0)</f>
        <v>Customer_104</v>
      </c>
      <c r="M255" t="str">
        <f>INDEX(Customer_Table[Country],MATCH(Sales_Table[[#This Row],[CustomerID]],Customer_Table[CustomerID],0))</f>
        <v>Canada</v>
      </c>
      <c r="N255" t="str">
        <f>INDEX(Customer_Table[Email],MATCH(Sales_Table[[#This Row],[CustomerID]],Customer_Table[CustomerID],0))</f>
        <v>customer104@email.com</v>
      </c>
    </row>
    <row r="256" spans="1:14" x14ac:dyDescent="0.3">
      <c r="A256" t="s">
        <v>414</v>
      </c>
      <c r="B256" s="1">
        <v>45372</v>
      </c>
      <c r="C256" s="1" t="str">
        <f>TEXT(Sales_Table[[#This Row],[OrderDate]],"DDDD")</f>
        <v>Thursday</v>
      </c>
      <c r="D256" s="1" t="str">
        <f>TEXT(Sales_Table[[#This Row],[OrderDate]],"MMMM")</f>
        <v>March</v>
      </c>
      <c r="E256" t="s">
        <v>392</v>
      </c>
      <c r="F256" t="s">
        <v>204</v>
      </c>
      <c r="G256">
        <v>2</v>
      </c>
      <c r="H256">
        <v>491.74</v>
      </c>
      <c r="I256" t="str">
        <f>VLOOKUP(Sales_Table[[#This Row],[ProductID]],Product_Table[],2,FALSE)</f>
        <v>Product_23</v>
      </c>
      <c r="J256" t="str">
        <f>VLOOKUP(Sales_Table[[#This Row],[ProductID]],Product_Table[],3,FALSE)</f>
        <v>Beauty</v>
      </c>
      <c r="K256">
        <f>_xlfn.XLOOKUP(Sales_Table[[#This Row],[ProductID]],Product_Table[ProductID],Product_Table[UnitPrice],"NULL",0)</f>
        <v>245.87</v>
      </c>
      <c r="L256" t="str">
        <f>_xlfn.XLOOKUP(Sales_Table[[#This Row],[CustomerID]],Customer_Table[CustomerID],Customer_Table[CustomerName],"NULL",0)</f>
        <v>Customer_70</v>
      </c>
      <c r="M256" t="str">
        <f>INDEX(Customer_Table[Country],MATCH(Sales_Table[[#This Row],[CustomerID]],Customer_Table[CustomerID],0))</f>
        <v>India</v>
      </c>
      <c r="N256" t="str">
        <f>INDEX(Customer_Table[Email],MATCH(Sales_Table[[#This Row],[CustomerID]],Customer_Table[CustomerID],0))</f>
        <v>customer70@email.com</v>
      </c>
    </row>
    <row r="257" spans="1:14" x14ac:dyDescent="0.3">
      <c r="A257" t="s">
        <v>415</v>
      </c>
      <c r="B257" s="1">
        <v>45429</v>
      </c>
      <c r="C257" s="1" t="str">
        <f>TEXT(Sales_Table[[#This Row],[OrderDate]],"DDDD")</f>
        <v>Friday</v>
      </c>
      <c r="D257" s="1" t="str">
        <f>TEXT(Sales_Table[[#This Row],[OrderDate]],"MMMM")</f>
        <v>May</v>
      </c>
      <c r="E257" t="s">
        <v>318</v>
      </c>
      <c r="F257" t="s">
        <v>168</v>
      </c>
      <c r="G257">
        <v>1</v>
      </c>
      <c r="H257">
        <v>43.58</v>
      </c>
      <c r="I257" t="str">
        <f>VLOOKUP(Sales_Table[[#This Row],[ProductID]],Product_Table[],2,FALSE)</f>
        <v>Product_37</v>
      </c>
      <c r="J257" t="str">
        <f>VLOOKUP(Sales_Table[[#This Row],[ProductID]],Product_Table[],3,FALSE)</f>
        <v>Clothing</v>
      </c>
      <c r="K257">
        <f>_xlfn.XLOOKUP(Sales_Table[[#This Row],[ProductID]],Product_Table[ProductID],Product_Table[UnitPrice],"NULL",0)</f>
        <v>43.58</v>
      </c>
      <c r="L257" t="str">
        <f>_xlfn.XLOOKUP(Sales_Table[[#This Row],[CustomerID]],Customer_Table[CustomerID],Customer_Table[CustomerName],"NULL",0)</f>
        <v>Customer_23</v>
      </c>
      <c r="M257" t="str">
        <f>INDEX(Customer_Table[Country],MATCH(Sales_Table[[#This Row],[CustomerID]],Customer_Table[CustomerID],0))</f>
        <v>United States</v>
      </c>
      <c r="N257" t="str">
        <f>INDEX(Customer_Table[Email],MATCH(Sales_Table[[#This Row],[CustomerID]],Customer_Table[CustomerID],0))</f>
        <v>customer23@email.com</v>
      </c>
    </row>
    <row r="258" spans="1:14" x14ac:dyDescent="0.3">
      <c r="A258" t="s">
        <v>416</v>
      </c>
      <c r="B258" s="1">
        <v>45341</v>
      </c>
      <c r="C258" s="1" t="str">
        <f>TEXT(Sales_Table[[#This Row],[OrderDate]],"DDDD")</f>
        <v>Monday</v>
      </c>
      <c r="D258" s="1" t="str">
        <f>TEXT(Sales_Table[[#This Row],[OrderDate]],"MMMM")</f>
        <v>February</v>
      </c>
      <c r="E258" t="s">
        <v>326</v>
      </c>
      <c r="F258" t="s">
        <v>140</v>
      </c>
      <c r="G258">
        <v>2</v>
      </c>
      <c r="H258">
        <v>675.6</v>
      </c>
      <c r="I258" t="str">
        <f>VLOOKUP(Sales_Table[[#This Row],[ProductID]],Product_Table[],2,FALSE)</f>
        <v>Product_3</v>
      </c>
      <c r="J258" t="str">
        <f>VLOOKUP(Sales_Table[[#This Row],[ProductID]],Product_Table[],3,FALSE)</f>
        <v>Home</v>
      </c>
      <c r="K258">
        <f>_xlfn.XLOOKUP(Sales_Table[[#This Row],[ProductID]],Product_Table[ProductID],Product_Table[UnitPrice],"NULL",0)</f>
        <v>337.8</v>
      </c>
      <c r="L258" t="str">
        <f>_xlfn.XLOOKUP(Sales_Table[[#This Row],[CustomerID]],Customer_Table[CustomerID],Customer_Table[CustomerName],"NULL",0)</f>
        <v>Customer_118</v>
      </c>
      <c r="M258" t="str">
        <f>INDEX(Customer_Table[Country],MATCH(Sales_Table[[#This Row],[CustomerID]],Customer_Table[CustomerID],0))</f>
        <v>United Kingdom</v>
      </c>
      <c r="N258" t="str">
        <f>INDEX(Customer_Table[Email],MATCH(Sales_Table[[#This Row],[CustomerID]],Customer_Table[CustomerID],0))</f>
        <v>customer118@email.com</v>
      </c>
    </row>
    <row r="259" spans="1:14" x14ac:dyDescent="0.3">
      <c r="A259" t="s">
        <v>417</v>
      </c>
      <c r="B259" s="1">
        <v>45415</v>
      </c>
      <c r="C259" s="1" t="str">
        <f>TEXT(Sales_Table[[#This Row],[OrderDate]],"DDDD")</f>
        <v>Friday</v>
      </c>
      <c r="D259" s="1" t="str">
        <f>TEXT(Sales_Table[[#This Row],[OrderDate]],"MMMM")</f>
        <v>May</v>
      </c>
      <c r="E259" t="s">
        <v>418</v>
      </c>
      <c r="F259" t="s">
        <v>137</v>
      </c>
      <c r="G259">
        <v>2</v>
      </c>
      <c r="H259">
        <v>233.34</v>
      </c>
      <c r="I259" t="str">
        <f>VLOOKUP(Sales_Table[[#This Row],[ProductID]],Product_Table[],2,FALSE)</f>
        <v>Product_30</v>
      </c>
      <c r="J259" t="str">
        <f>VLOOKUP(Sales_Table[[#This Row],[ProductID]],Product_Table[],3,FALSE)</f>
        <v>Home</v>
      </c>
      <c r="K259">
        <f>_xlfn.XLOOKUP(Sales_Table[[#This Row],[ProductID]],Product_Table[ProductID],Product_Table[UnitPrice],"NULL",0)</f>
        <v>116.67</v>
      </c>
      <c r="L259" t="str">
        <f>_xlfn.XLOOKUP(Sales_Table[[#This Row],[CustomerID]],Customer_Table[CustomerID],Customer_Table[CustomerName],"NULL",0)</f>
        <v>Customer_4</v>
      </c>
      <c r="M259" t="str">
        <f>INDEX(Customer_Table[Country],MATCH(Sales_Table[[#This Row],[CustomerID]],Customer_Table[CustomerID],0))</f>
        <v>United Kingdom</v>
      </c>
      <c r="N259" t="str">
        <f>INDEX(Customer_Table[Email],MATCH(Sales_Table[[#This Row],[CustomerID]],Customer_Table[CustomerID],0))</f>
        <v>customer4@email.com</v>
      </c>
    </row>
    <row r="260" spans="1:14" x14ac:dyDescent="0.3">
      <c r="A260" t="s">
        <v>419</v>
      </c>
      <c r="B260" s="1">
        <v>45442</v>
      </c>
      <c r="C260" s="1" t="str">
        <f>TEXT(Sales_Table[[#This Row],[OrderDate]],"DDDD")</f>
        <v>Thursday</v>
      </c>
      <c r="D260" s="1" t="str">
        <f>TEXT(Sales_Table[[#This Row],[OrderDate]],"MMMM")</f>
        <v>May</v>
      </c>
      <c r="E260" t="s">
        <v>318</v>
      </c>
      <c r="F260" t="s">
        <v>154</v>
      </c>
      <c r="G260">
        <v>3</v>
      </c>
      <c r="H260">
        <v>998.7</v>
      </c>
      <c r="I260" t="str">
        <f>VLOOKUP(Sales_Table[[#This Row],[ProductID]],Product_Table[],2,FALSE)</f>
        <v>Product_8</v>
      </c>
      <c r="J260" t="str">
        <f>VLOOKUP(Sales_Table[[#This Row],[ProductID]],Product_Table[],3,FALSE)</f>
        <v>Electronics</v>
      </c>
      <c r="K260">
        <f>_xlfn.XLOOKUP(Sales_Table[[#This Row],[ProductID]],Product_Table[ProductID],Product_Table[UnitPrice],"NULL",0)</f>
        <v>332.9</v>
      </c>
      <c r="L260" t="str">
        <f>_xlfn.XLOOKUP(Sales_Table[[#This Row],[CustomerID]],Customer_Table[CustomerID],Customer_Table[CustomerName],"NULL",0)</f>
        <v>Customer_23</v>
      </c>
      <c r="M260" t="str">
        <f>INDEX(Customer_Table[Country],MATCH(Sales_Table[[#This Row],[CustomerID]],Customer_Table[CustomerID],0))</f>
        <v>United States</v>
      </c>
      <c r="N260" t="str">
        <f>INDEX(Customer_Table[Email],MATCH(Sales_Table[[#This Row],[CustomerID]],Customer_Table[CustomerID],0))</f>
        <v>customer23@email.com</v>
      </c>
    </row>
    <row r="261" spans="1:14" x14ac:dyDescent="0.3">
      <c r="A261" t="s">
        <v>420</v>
      </c>
      <c r="B261" s="1">
        <v>45444</v>
      </c>
      <c r="C261" s="1" t="str">
        <f>TEXT(Sales_Table[[#This Row],[OrderDate]],"DDDD")</f>
        <v>Saturday</v>
      </c>
      <c r="D261" s="1" t="str">
        <f>TEXT(Sales_Table[[#This Row],[OrderDate]],"MMMM")</f>
        <v>June</v>
      </c>
      <c r="E261" t="s">
        <v>97</v>
      </c>
      <c r="F261" t="s">
        <v>132</v>
      </c>
      <c r="G261">
        <v>5</v>
      </c>
      <c r="H261">
        <v>198.5</v>
      </c>
      <c r="I261" t="str">
        <f>VLOOKUP(Sales_Table[[#This Row],[ProductID]],Product_Table[],2,FALSE)</f>
        <v>Product_12</v>
      </c>
      <c r="J261" t="str">
        <f>VLOOKUP(Sales_Table[[#This Row],[ProductID]],Product_Table[],3,FALSE)</f>
        <v>Electronics</v>
      </c>
      <c r="K261">
        <f>_xlfn.XLOOKUP(Sales_Table[[#This Row],[ProductID]],Product_Table[ProductID],Product_Table[UnitPrice],"NULL",0)</f>
        <v>39.700000000000003</v>
      </c>
      <c r="L261" t="str">
        <f>_xlfn.XLOOKUP(Sales_Table[[#This Row],[CustomerID]],Customer_Table[CustomerID],Customer_Table[CustomerName],"NULL",0)</f>
        <v>Customer_2</v>
      </c>
      <c r="M261" t="str">
        <f>INDEX(Customer_Table[Country],MATCH(Sales_Table[[#This Row],[CustomerID]],Customer_Table[CustomerID],0))</f>
        <v>United Kingdom</v>
      </c>
      <c r="N261" t="str">
        <f>INDEX(Customer_Table[Email],MATCH(Sales_Table[[#This Row],[CustomerID]],Customer_Table[CustomerID],0))</f>
        <v>customer2@email.com</v>
      </c>
    </row>
    <row r="262" spans="1:14" x14ac:dyDescent="0.3">
      <c r="A262" t="s">
        <v>421</v>
      </c>
      <c r="B262" s="1">
        <v>45317</v>
      </c>
      <c r="C262" s="1" t="str">
        <f>TEXT(Sales_Table[[#This Row],[OrderDate]],"DDDD")</f>
        <v>Friday</v>
      </c>
      <c r="D262" s="1" t="str">
        <f>TEXT(Sales_Table[[#This Row],[OrderDate]],"MMMM")</f>
        <v>January</v>
      </c>
      <c r="E262" t="s">
        <v>320</v>
      </c>
      <c r="F262" t="s">
        <v>28</v>
      </c>
      <c r="G262">
        <v>3</v>
      </c>
      <c r="H262">
        <v>623.54999999999995</v>
      </c>
      <c r="I262" t="str">
        <f>VLOOKUP(Sales_Table[[#This Row],[ProductID]],Product_Table[],2,FALSE)</f>
        <v>Product_39</v>
      </c>
      <c r="J262" t="str">
        <f>VLOOKUP(Sales_Table[[#This Row],[ProductID]],Product_Table[],3,FALSE)</f>
        <v>Clothing</v>
      </c>
      <c r="K262">
        <f>_xlfn.XLOOKUP(Sales_Table[[#This Row],[ProductID]],Product_Table[ProductID],Product_Table[UnitPrice],"NULL",0)</f>
        <v>207.85</v>
      </c>
      <c r="L262" t="str">
        <f>_xlfn.XLOOKUP(Sales_Table[[#This Row],[CustomerID]],Customer_Table[CustomerID],Customer_Table[CustomerName],"NULL",0)</f>
        <v>Customer_51</v>
      </c>
      <c r="M262" t="str">
        <f>INDEX(Customer_Table[Country],MATCH(Sales_Table[[#This Row],[CustomerID]],Customer_Table[CustomerID],0))</f>
        <v>United Kingdom</v>
      </c>
      <c r="N262" t="str">
        <f>INDEX(Customer_Table[Email],MATCH(Sales_Table[[#This Row],[CustomerID]],Customer_Table[CustomerID],0))</f>
        <v>customer51@email.com</v>
      </c>
    </row>
    <row r="263" spans="1:14" x14ac:dyDescent="0.3">
      <c r="A263" t="s">
        <v>422</v>
      </c>
      <c r="B263" s="1">
        <v>45367</v>
      </c>
      <c r="C263" s="1" t="str">
        <f>TEXT(Sales_Table[[#This Row],[OrderDate]],"DDDD")</f>
        <v>Saturday</v>
      </c>
      <c r="D263" s="1" t="str">
        <f>TEXT(Sales_Table[[#This Row],[OrderDate]],"MMMM")</f>
        <v>March</v>
      </c>
      <c r="E263" t="s">
        <v>249</v>
      </c>
      <c r="F263" t="s">
        <v>268</v>
      </c>
      <c r="G263">
        <v>2</v>
      </c>
      <c r="H263">
        <v>391.4</v>
      </c>
      <c r="I263" t="str">
        <f>VLOOKUP(Sales_Table[[#This Row],[ProductID]],Product_Table[],2,FALSE)</f>
        <v>Product_25</v>
      </c>
      <c r="J263" t="str">
        <f>VLOOKUP(Sales_Table[[#This Row],[ProductID]],Product_Table[],3,FALSE)</f>
        <v>Clothing</v>
      </c>
      <c r="K263">
        <f>_xlfn.XLOOKUP(Sales_Table[[#This Row],[ProductID]],Product_Table[ProductID],Product_Table[UnitPrice],"NULL",0)</f>
        <v>195.7</v>
      </c>
      <c r="L263" t="str">
        <f>_xlfn.XLOOKUP(Sales_Table[[#This Row],[CustomerID]],Customer_Table[CustomerID],Customer_Table[CustomerName],"NULL",0)</f>
        <v>Customer_15</v>
      </c>
      <c r="M263" t="str">
        <f>INDEX(Customer_Table[Country],MATCH(Sales_Table[[#This Row],[CustomerID]],Customer_Table[CustomerID],0))</f>
        <v>United States</v>
      </c>
      <c r="N263" t="str">
        <f>INDEX(Customer_Table[Email],MATCH(Sales_Table[[#This Row],[CustomerID]],Customer_Table[CustomerID],0))</f>
        <v>customer15@email.com</v>
      </c>
    </row>
    <row r="264" spans="1:14" x14ac:dyDescent="0.3">
      <c r="A264" t="s">
        <v>423</v>
      </c>
      <c r="B264" s="1">
        <v>45384</v>
      </c>
      <c r="C264" s="1" t="str">
        <f>TEXT(Sales_Table[[#This Row],[OrderDate]],"DDDD")</f>
        <v>Tuesday</v>
      </c>
      <c r="D264" s="1" t="str">
        <f>TEXT(Sales_Table[[#This Row],[OrderDate]],"MMMM")</f>
        <v>April</v>
      </c>
      <c r="E264" t="s">
        <v>266</v>
      </c>
      <c r="F264" t="s">
        <v>106</v>
      </c>
      <c r="G264">
        <v>2</v>
      </c>
      <c r="H264">
        <v>263.68</v>
      </c>
      <c r="I264" t="str">
        <f>VLOOKUP(Sales_Table[[#This Row],[ProductID]],Product_Table[],2,FALSE)</f>
        <v>Product_14</v>
      </c>
      <c r="J264" t="str">
        <f>VLOOKUP(Sales_Table[[#This Row],[ProductID]],Product_Table[],3,FALSE)</f>
        <v>Electronics</v>
      </c>
      <c r="K264">
        <f>_xlfn.XLOOKUP(Sales_Table[[#This Row],[ProductID]],Product_Table[ProductID],Product_Table[UnitPrice],"NULL",0)</f>
        <v>131.84</v>
      </c>
      <c r="L264" t="str">
        <f>_xlfn.XLOOKUP(Sales_Table[[#This Row],[CustomerID]],Customer_Table[CustomerID],Customer_Table[CustomerName],"NULL",0)</f>
        <v>Customer_45</v>
      </c>
      <c r="M264" t="str">
        <f>INDEX(Customer_Table[Country],MATCH(Sales_Table[[#This Row],[CustomerID]],Customer_Table[CustomerID],0))</f>
        <v>Canada</v>
      </c>
      <c r="N264" t="str">
        <f>INDEX(Customer_Table[Email],MATCH(Sales_Table[[#This Row],[CustomerID]],Customer_Table[CustomerID],0))</f>
        <v>customer45@email.com</v>
      </c>
    </row>
    <row r="265" spans="1:14" x14ac:dyDescent="0.3">
      <c r="A265" t="s">
        <v>424</v>
      </c>
      <c r="B265" s="1">
        <v>45369</v>
      </c>
      <c r="C265" s="1" t="str">
        <f>TEXT(Sales_Table[[#This Row],[OrderDate]],"DDDD")</f>
        <v>Monday</v>
      </c>
      <c r="D265" s="1" t="str">
        <f>TEXT(Sales_Table[[#This Row],[OrderDate]],"MMMM")</f>
        <v>March</v>
      </c>
      <c r="E265" t="s">
        <v>303</v>
      </c>
      <c r="F265" t="s">
        <v>63</v>
      </c>
      <c r="G265">
        <v>2</v>
      </c>
      <c r="H265">
        <v>261.3</v>
      </c>
      <c r="I265" t="str">
        <f>VLOOKUP(Sales_Table[[#This Row],[ProductID]],Product_Table[],2,FALSE)</f>
        <v>Product_40</v>
      </c>
      <c r="J265" t="str">
        <f>VLOOKUP(Sales_Table[[#This Row],[ProductID]],Product_Table[],3,FALSE)</f>
        <v>Sports</v>
      </c>
      <c r="K265">
        <f>_xlfn.XLOOKUP(Sales_Table[[#This Row],[ProductID]],Product_Table[ProductID],Product_Table[UnitPrice],"NULL",0)</f>
        <v>130.65</v>
      </c>
      <c r="L265" t="str">
        <f>_xlfn.XLOOKUP(Sales_Table[[#This Row],[CustomerID]],Customer_Table[CustomerID],Customer_Table[CustomerName],"NULL",0)</f>
        <v>Customer_16</v>
      </c>
      <c r="M265" t="str">
        <f>INDEX(Customer_Table[Country],MATCH(Sales_Table[[#This Row],[CustomerID]],Customer_Table[CustomerID],0))</f>
        <v>United States</v>
      </c>
      <c r="N265" t="str">
        <f>INDEX(Customer_Table[Email],MATCH(Sales_Table[[#This Row],[CustomerID]],Customer_Table[CustomerID],0))</f>
        <v>customer16@email.com</v>
      </c>
    </row>
    <row r="266" spans="1:14" x14ac:dyDescent="0.3">
      <c r="A266" t="s">
        <v>425</v>
      </c>
      <c r="B266" s="1">
        <v>45428</v>
      </c>
      <c r="C266" s="1" t="str">
        <f>TEXT(Sales_Table[[#This Row],[OrderDate]],"DDDD")</f>
        <v>Thursday</v>
      </c>
      <c r="D266" s="1" t="str">
        <f>TEXT(Sales_Table[[#This Row],[OrderDate]],"MMMM")</f>
        <v>May</v>
      </c>
      <c r="E266" t="s">
        <v>78</v>
      </c>
      <c r="F266" t="s">
        <v>34</v>
      </c>
      <c r="G266">
        <v>1</v>
      </c>
      <c r="H266">
        <v>149.77000000000001</v>
      </c>
      <c r="I266" t="str">
        <f>VLOOKUP(Sales_Table[[#This Row],[ProductID]],Product_Table[],2,FALSE)</f>
        <v>Product_27</v>
      </c>
      <c r="J266" t="str">
        <f>VLOOKUP(Sales_Table[[#This Row],[ProductID]],Product_Table[],3,FALSE)</f>
        <v>Beauty</v>
      </c>
      <c r="K266">
        <f>_xlfn.XLOOKUP(Sales_Table[[#This Row],[ProductID]],Product_Table[ProductID],Product_Table[UnitPrice],"NULL",0)</f>
        <v>149.77000000000001</v>
      </c>
      <c r="L266" t="str">
        <f>_xlfn.XLOOKUP(Sales_Table[[#This Row],[CustomerID]],Customer_Table[CustomerID],Customer_Table[CustomerName],"NULL",0)</f>
        <v>Customer_27</v>
      </c>
      <c r="M266" t="str">
        <f>INDEX(Customer_Table[Country],MATCH(Sales_Table[[#This Row],[CustomerID]],Customer_Table[CustomerID],0))</f>
        <v>United States</v>
      </c>
      <c r="N266" t="str">
        <f>INDEX(Customer_Table[Email],MATCH(Sales_Table[[#This Row],[CustomerID]],Customer_Table[CustomerID],0))</f>
        <v>customer27@email.com</v>
      </c>
    </row>
    <row r="267" spans="1:14" x14ac:dyDescent="0.3">
      <c r="A267" t="s">
        <v>426</v>
      </c>
      <c r="B267" s="1">
        <v>45362</v>
      </c>
      <c r="C267" s="1" t="str">
        <f>TEXT(Sales_Table[[#This Row],[OrderDate]],"DDDD")</f>
        <v>Monday</v>
      </c>
      <c r="D267" s="1" t="str">
        <f>TEXT(Sales_Table[[#This Row],[OrderDate]],"MMMM")</f>
        <v>March</v>
      </c>
      <c r="E267" t="s">
        <v>97</v>
      </c>
      <c r="F267" t="s">
        <v>137</v>
      </c>
      <c r="G267">
        <v>2</v>
      </c>
      <c r="H267">
        <v>233.34</v>
      </c>
      <c r="I267" t="str">
        <f>VLOOKUP(Sales_Table[[#This Row],[ProductID]],Product_Table[],2,FALSE)</f>
        <v>Product_30</v>
      </c>
      <c r="J267" t="str">
        <f>VLOOKUP(Sales_Table[[#This Row],[ProductID]],Product_Table[],3,FALSE)</f>
        <v>Home</v>
      </c>
      <c r="K267">
        <f>_xlfn.XLOOKUP(Sales_Table[[#This Row],[ProductID]],Product_Table[ProductID],Product_Table[UnitPrice],"NULL",0)</f>
        <v>116.67</v>
      </c>
      <c r="L267" t="str">
        <f>_xlfn.XLOOKUP(Sales_Table[[#This Row],[CustomerID]],Customer_Table[CustomerID],Customer_Table[CustomerName],"NULL",0)</f>
        <v>Customer_2</v>
      </c>
      <c r="M267" t="str">
        <f>INDEX(Customer_Table[Country],MATCH(Sales_Table[[#This Row],[CustomerID]],Customer_Table[CustomerID],0))</f>
        <v>United Kingdom</v>
      </c>
      <c r="N267" t="str">
        <f>INDEX(Customer_Table[Email],MATCH(Sales_Table[[#This Row],[CustomerID]],Customer_Table[CustomerID],0))</f>
        <v>customer2@email.com</v>
      </c>
    </row>
    <row r="268" spans="1:14" x14ac:dyDescent="0.3">
      <c r="A268" t="s">
        <v>427</v>
      </c>
      <c r="B268" s="1">
        <v>45305</v>
      </c>
      <c r="C268" s="1" t="str">
        <f>TEXT(Sales_Table[[#This Row],[OrderDate]],"DDDD")</f>
        <v>Sunday</v>
      </c>
      <c r="D268" s="1" t="str">
        <f>TEXT(Sales_Table[[#This Row],[OrderDate]],"MMMM")</f>
        <v>January</v>
      </c>
      <c r="E268" t="s">
        <v>222</v>
      </c>
      <c r="F268" t="s">
        <v>89</v>
      </c>
      <c r="G268">
        <v>1</v>
      </c>
      <c r="H268">
        <v>433.28</v>
      </c>
      <c r="I268" t="str">
        <f>VLOOKUP(Sales_Table[[#This Row],[ProductID]],Product_Table[],2,FALSE)</f>
        <v>Product_10</v>
      </c>
      <c r="J268" t="str">
        <f>VLOOKUP(Sales_Table[[#This Row],[ProductID]],Product_Table[],3,FALSE)</f>
        <v>Beauty</v>
      </c>
      <c r="K268">
        <f>_xlfn.XLOOKUP(Sales_Table[[#This Row],[ProductID]],Product_Table[ProductID],Product_Table[UnitPrice],"NULL",0)</f>
        <v>433.28</v>
      </c>
      <c r="L268" t="str">
        <f>_xlfn.XLOOKUP(Sales_Table[[#This Row],[CustomerID]],Customer_Table[CustomerID],Customer_Table[CustomerName],"NULL",0)</f>
        <v>Customer_46</v>
      </c>
      <c r="M268" t="str">
        <f>INDEX(Customer_Table[Country],MATCH(Sales_Table[[#This Row],[CustomerID]],Customer_Table[CustomerID],0))</f>
        <v>United Kingdom</v>
      </c>
      <c r="N268" t="str">
        <f>INDEX(Customer_Table[Email],MATCH(Sales_Table[[#This Row],[CustomerID]],Customer_Table[CustomerID],0))</f>
        <v>customer46@email.com</v>
      </c>
    </row>
    <row r="269" spans="1:14" x14ac:dyDescent="0.3">
      <c r="A269" t="s">
        <v>428</v>
      </c>
      <c r="B269" s="1">
        <v>45366</v>
      </c>
      <c r="C269" s="1" t="str">
        <f>TEXT(Sales_Table[[#This Row],[OrderDate]],"DDDD")</f>
        <v>Friday</v>
      </c>
      <c r="D269" s="1" t="str">
        <f>TEXT(Sales_Table[[#This Row],[OrderDate]],"MMMM")</f>
        <v>March</v>
      </c>
      <c r="E269" t="s">
        <v>113</v>
      </c>
      <c r="F269" t="s">
        <v>137</v>
      </c>
      <c r="G269">
        <v>5</v>
      </c>
      <c r="H269">
        <v>583.35</v>
      </c>
      <c r="I269" t="str">
        <f>VLOOKUP(Sales_Table[[#This Row],[ProductID]],Product_Table[],2,FALSE)</f>
        <v>Product_30</v>
      </c>
      <c r="J269" t="str">
        <f>VLOOKUP(Sales_Table[[#This Row],[ProductID]],Product_Table[],3,FALSE)</f>
        <v>Home</v>
      </c>
      <c r="K269">
        <f>_xlfn.XLOOKUP(Sales_Table[[#This Row],[ProductID]],Product_Table[ProductID],Product_Table[UnitPrice],"NULL",0)</f>
        <v>116.67</v>
      </c>
      <c r="L269" t="str">
        <f>_xlfn.XLOOKUP(Sales_Table[[#This Row],[CustomerID]],Customer_Table[CustomerID],Customer_Table[CustomerName],"NULL",0)</f>
        <v>Customer_100</v>
      </c>
      <c r="M269" t="str">
        <f>INDEX(Customer_Table[Country],MATCH(Sales_Table[[#This Row],[CustomerID]],Customer_Table[CustomerID],0))</f>
        <v>United Kingdom</v>
      </c>
      <c r="N269" t="str">
        <f>INDEX(Customer_Table[Email],MATCH(Sales_Table[[#This Row],[CustomerID]],Customer_Table[CustomerID],0))</f>
        <v>customer100@email.com</v>
      </c>
    </row>
    <row r="270" spans="1:14" x14ac:dyDescent="0.3">
      <c r="A270" t="s">
        <v>429</v>
      </c>
      <c r="B270" s="1">
        <v>45455</v>
      </c>
      <c r="C270" s="1" t="str">
        <f>TEXT(Sales_Table[[#This Row],[OrderDate]],"DDDD")</f>
        <v>Wednesday</v>
      </c>
      <c r="D270" s="1" t="str">
        <f>TEXT(Sales_Table[[#This Row],[OrderDate]],"MMMM")</f>
        <v>June</v>
      </c>
      <c r="E270" t="s">
        <v>430</v>
      </c>
      <c r="F270" t="s">
        <v>268</v>
      </c>
      <c r="G270">
        <v>2</v>
      </c>
      <c r="H270">
        <v>391.4</v>
      </c>
      <c r="I270" t="str">
        <f>VLOOKUP(Sales_Table[[#This Row],[ProductID]],Product_Table[],2,FALSE)</f>
        <v>Product_25</v>
      </c>
      <c r="J270" t="str">
        <f>VLOOKUP(Sales_Table[[#This Row],[ProductID]],Product_Table[],3,FALSE)</f>
        <v>Clothing</v>
      </c>
      <c r="K270">
        <f>_xlfn.XLOOKUP(Sales_Table[[#This Row],[ProductID]],Product_Table[ProductID],Product_Table[UnitPrice],"NULL",0)</f>
        <v>195.7</v>
      </c>
      <c r="L270" t="str">
        <f>_xlfn.XLOOKUP(Sales_Table[[#This Row],[CustomerID]],Customer_Table[CustomerID],Customer_Table[CustomerName],"NULL",0)</f>
        <v>Customer_33</v>
      </c>
      <c r="M270" t="str">
        <f>INDEX(Customer_Table[Country],MATCH(Sales_Table[[#This Row],[CustomerID]],Customer_Table[CustomerID],0))</f>
        <v>India</v>
      </c>
      <c r="N270" t="str">
        <f>INDEX(Customer_Table[Email],MATCH(Sales_Table[[#This Row],[CustomerID]],Customer_Table[CustomerID],0))</f>
        <v>customer33@email.com</v>
      </c>
    </row>
    <row r="271" spans="1:14" x14ac:dyDescent="0.3">
      <c r="A271" t="s">
        <v>431</v>
      </c>
      <c r="B271" s="1">
        <v>45318</v>
      </c>
      <c r="C271" s="1" t="str">
        <f>TEXT(Sales_Table[[#This Row],[OrderDate]],"DDDD")</f>
        <v>Saturday</v>
      </c>
      <c r="D271" s="1" t="str">
        <f>TEXT(Sales_Table[[#This Row],[OrderDate]],"MMMM")</f>
        <v>January</v>
      </c>
      <c r="E271" t="s">
        <v>24</v>
      </c>
      <c r="F271" t="s">
        <v>160</v>
      </c>
      <c r="G271">
        <v>4</v>
      </c>
      <c r="H271">
        <v>1363.4</v>
      </c>
      <c r="I271" t="str">
        <f>VLOOKUP(Sales_Table[[#This Row],[ProductID]],Product_Table[],2,FALSE)</f>
        <v>Product_38</v>
      </c>
      <c r="J271" t="str">
        <f>VLOOKUP(Sales_Table[[#This Row],[ProductID]],Product_Table[],3,FALSE)</f>
        <v>Electronics</v>
      </c>
      <c r="K271">
        <f>_xlfn.XLOOKUP(Sales_Table[[#This Row],[ProductID]],Product_Table[ProductID],Product_Table[UnitPrice],"NULL",0)</f>
        <v>340.85</v>
      </c>
      <c r="L271" t="str">
        <f>_xlfn.XLOOKUP(Sales_Table[[#This Row],[CustomerID]],Customer_Table[CustomerID],Customer_Table[CustomerName],"NULL",0)</f>
        <v>Customer_97</v>
      </c>
      <c r="M271" t="str">
        <f>INDEX(Customer_Table[Country],MATCH(Sales_Table[[#This Row],[CustomerID]],Customer_Table[CustomerID],0))</f>
        <v>Canada</v>
      </c>
      <c r="N271" t="str">
        <f>INDEX(Customer_Table[Email],MATCH(Sales_Table[[#This Row],[CustomerID]],Customer_Table[CustomerID],0))</f>
        <v>customer97@email.com</v>
      </c>
    </row>
    <row r="272" spans="1:14" x14ac:dyDescent="0.3">
      <c r="A272" t="s">
        <v>432</v>
      </c>
      <c r="B272" s="1">
        <v>45438</v>
      </c>
      <c r="C272" s="1" t="str">
        <f>TEXT(Sales_Table[[#This Row],[OrderDate]],"DDDD")</f>
        <v>Sunday</v>
      </c>
      <c r="D272" s="1" t="str">
        <f>TEXT(Sales_Table[[#This Row],[OrderDate]],"MMMM")</f>
        <v>May</v>
      </c>
      <c r="E272" t="s">
        <v>45</v>
      </c>
      <c r="F272" t="s">
        <v>68</v>
      </c>
      <c r="G272">
        <v>1</v>
      </c>
      <c r="H272">
        <v>91.49</v>
      </c>
      <c r="I272" t="str">
        <f>VLOOKUP(Sales_Table[[#This Row],[ProductID]],Product_Table[],2,FALSE)</f>
        <v>Product_22</v>
      </c>
      <c r="J272" t="str">
        <f>VLOOKUP(Sales_Table[[#This Row],[ProductID]],Product_Table[],3,FALSE)</f>
        <v>Clothing</v>
      </c>
      <c r="K272">
        <f>_xlfn.XLOOKUP(Sales_Table[[#This Row],[ProductID]],Product_Table[ProductID],Product_Table[UnitPrice],"NULL",0)</f>
        <v>91.49</v>
      </c>
      <c r="L272" t="str">
        <f>_xlfn.XLOOKUP(Sales_Table[[#This Row],[CustomerID]],Customer_Table[CustomerID],Customer_Table[CustomerName],"NULL",0)</f>
        <v>Customer_110</v>
      </c>
      <c r="M272" t="str">
        <f>INDEX(Customer_Table[Country],MATCH(Sales_Table[[#This Row],[CustomerID]],Customer_Table[CustomerID],0))</f>
        <v>United States</v>
      </c>
      <c r="N272" t="str">
        <f>INDEX(Customer_Table[Email],MATCH(Sales_Table[[#This Row],[CustomerID]],Customer_Table[CustomerID],0))</f>
        <v>customer110@email.com</v>
      </c>
    </row>
    <row r="273" spans="1:14" x14ac:dyDescent="0.3">
      <c r="A273" t="s">
        <v>433</v>
      </c>
      <c r="B273" s="1">
        <v>45412</v>
      </c>
      <c r="C273" s="1" t="str">
        <f>TEXT(Sales_Table[[#This Row],[OrderDate]],"DDDD")</f>
        <v>Tuesday</v>
      </c>
      <c r="D273" s="1" t="str">
        <f>TEXT(Sales_Table[[#This Row],[OrderDate]],"MMMM")</f>
        <v>April</v>
      </c>
      <c r="E273" t="s">
        <v>243</v>
      </c>
      <c r="F273" t="s">
        <v>233</v>
      </c>
      <c r="G273">
        <v>3</v>
      </c>
      <c r="H273">
        <v>1391.76</v>
      </c>
      <c r="I273" t="str">
        <f>VLOOKUP(Sales_Table[[#This Row],[ProductID]],Product_Table[],2,FALSE)</f>
        <v>Product_21</v>
      </c>
      <c r="J273" t="str">
        <f>VLOOKUP(Sales_Table[[#This Row],[ProductID]],Product_Table[],3,FALSE)</f>
        <v>Electronics</v>
      </c>
      <c r="K273">
        <f>_xlfn.XLOOKUP(Sales_Table[[#This Row],[ProductID]],Product_Table[ProductID],Product_Table[UnitPrice],"NULL",0)</f>
        <v>463.92</v>
      </c>
      <c r="L273" t="str">
        <f>_xlfn.XLOOKUP(Sales_Table[[#This Row],[CustomerID]],Customer_Table[CustomerID],Customer_Table[CustomerName],"NULL",0)</f>
        <v>Customer_47</v>
      </c>
      <c r="M273" t="str">
        <f>INDEX(Customer_Table[Country],MATCH(Sales_Table[[#This Row],[CustomerID]],Customer_Table[CustomerID],0))</f>
        <v>United States</v>
      </c>
      <c r="N273" t="str">
        <f>INDEX(Customer_Table[Email],MATCH(Sales_Table[[#This Row],[CustomerID]],Customer_Table[CustomerID],0))</f>
        <v>customer47@email.com</v>
      </c>
    </row>
    <row r="274" spans="1:14" x14ac:dyDescent="0.3">
      <c r="A274" t="s">
        <v>434</v>
      </c>
      <c r="B274" s="1">
        <v>45404</v>
      </c>
      <c r="C274" s="1" t="str">
        <f>TEXT(Sales_Table[[#This Row],[OrderDate]],"DDDD")</f>
        <v>Monday</v>
      </c>
      <c r="D274" s="1" t="str">
        <f>TEXT(Sales_Table[[#This Row],[OrderDate]],"MMMM")</f>
        <v>April</v>
      </c>
      <c r="E274" t="s">
        <v>178</v>
      </c>
      <c r="F274" t="s">
        <v>122</v>
      </c>
      <c r="G274">
        <v>4</v>
      </c>
      <c r="H274">
        <v>908.52</v>
      </c>
      <c r="I274" t="str">
        <f>VLOOKUP(Sales_Table[[#This Row],[ProductID]],Product_Table[],2,FALSE)</f>
        <v>Product_18</v>
      </c>
      <c r="J274" t="str">
        <f>VLOOKUP(Sales_Table[[#This Row],[ProductID]],Product_Table[],3,FALSE)</f>
        <v>Electronics</v>
      </c>
      <c r="K274">
        <f>_xlfn.XLOOKUP(Sales_Table[[#This Row],[ProductID]],Product_Table[ProductID],Product_Table[UnitPrice],"NULL",0)</f>
        <v>227.13</v>
      </c>
      <c r="L274" t="str">
        <f>_xlfn.XLOOKUP(Sales_Table[[#This Row],[CustomerID]],Customer_Table[CustomerID],Customer_Table[CustomerName],"NULL",0)</f>
        <v>Customer_3</v>
      </c>
      <c r="M274" t="str">
        <f>INDEX(Customer_Table[Country],MATCH(Sales_Table[[#This Row],[CustomerID]],Customer_Table[CustomerID],0))</f>
        <v>United Kingdom</v>
      </c>
      <c r="N274" t="str">
        <f>INDEX(Customer_Table[Email],MATCH(Sales_Table[[#This Row],[CustomerID]],Customer_Table[CustomerID],0))</f>
        <v>customer3@email.com</v>
      </c>
    </row>
    <row r="275" spans="1:14" x14ac:dyDescent="0.3">
      <c r="A275" t="s">
        <v>435</v>
      </c>
      <c r="B275" s="1">
        <v>45339</v>
      </c>
      <c r="C275" s="1" t="str">
        <f>TEXT(Sales_Table[[#This Row],[OrderDate]],"DDDD")</f>
        <v>Saturday</v>
      </c>
      <c r="D275" s="1" t="str">
        <f>TEXT(Sales_Table[[#This Row],[OrderDate]],"MMMM")</f>
        <v>February</v>
      </c>
      <c r="E275" t="s">
        <v>323</v>
      </c>
      <c r="F275" t="s">
        <v>137</v>
      </c>
      <c r="G275">
        <v>3</v>
      </c>
      <c r="H275">
        <v>350.01</v>
      </c>
      <c r="I275" t="str">
        <f>VLOOKUP(Sales_Table[[#This Row],[ProductID]],Product_Table[],2,FALSE)</f>
        <v>Product_30</v>
      </c>
      <c r="J275" t="str">
        <f>VLOOKUP(Sales_Table[[#This Row],[ProductID]],Product_Table[],3,FALSE)</f>
        <v>Home</v>
      </c>
      <c r="K275">
        <f>_xlfn.XLOOKUP(Sales_Table[[#This Row],[ProductID]],Product_Table[ProductID],Product_Table[UnitPrice],"NULL",0)</f>
        <v>116.67</v>
      </c>
      <c r="L275" t="str">
        <f>_xlfn.XLOOKUP(Sales_Table[[#This Row],[CustomerID]],Customer_Table[CustomerID],Customer_Table[CustomerName],"NULL",0)</f>
        <v>Customer_93</v>
      </c>
      <c r="M275" t="str">
        <f>INDEX(Customer_Table[Country],MATCH(Sales_Table[[#This Row],[CustomerID]],Customer_Table[CustomerID],0))</f>
        <v>United States</v>
      </c>
      <c r="N275" t="str">
        <f>INDEX(Customer_Table[Email],MATCH(Sales_Table[[#This Row],[CustomerID]],Customer_Table[CustomerID],0))</f>
        <v>customer93@email.com</v>
      </c>
    </row>
    <row r="276" spans="1:14" x14ac:dyDescent="0.3">
      <c r="A276" t="s">
        <v>436</v>
      </c>
      <c r="B276" s="1">
        <v>45356</v>
      </c>
      <c r="C276" s="1" t="str">
        <f>TEXT(Sales_Table[[#This Row],[OrderDate]],"DDDD")</f>
        <v>Tuesday</v>
      </c>
      <c r="D276" s="1" t="str">
        <f>TEXT(Sales_Table[[#This Row],[OrderDate]],"MMMM")</f>
        <v>March</v>
      </c>
      <c r="E276" t="s">
        <v>206</v>
      </c>
      <c r="F276" t="s">
        <v>52</v>
      </c>
      <c r="G276">
        <v>1</v>
      </c>
      <c r="H276">
        <v>272.77999999999997</v>
      </c>
      <c r="I276" t="str">
        <f>VLOOKUP(Sales_Table[[#This Row],[ProductID]],Product_Table[],2,FALSE)</f>
        <v>Product_15</v>
      </c>
      <c r="J276" t="str">
        <f>VLOOKUP(Sales_Table[[#This Row],[ProductID]],Product_Table[],3,FALSE)</f>
        <v>Clothing</v>
      </c>
      <c r="K276">
        <f>_xlfn.XLOOKUP(Sales_Table[[#This Row],[ProductID]],Product_Table[ProductID],Product_Table[UnitPrice],"NULL",0)</f>
        <v>272.77999999999997</v>
      </c>
      <c r="L276" t="str">
        <f>_xlfn.XLOOKUP(Sales_Table[[#This Row],[CustomerID]],Customer_Table[CustomerID],Customer_Table[CustomerName],"NULL",0)</f>
        <v>Customer_69</v>
      </c>
      <c r="M276" t="str">
        <f>INDEX(Customer_Table[Country],MATCH(Sales_Table[[#This Row],[CustomerID]],Customer_Table[CustomerID],0))</f>
        <v>United Kingdom</v>
      </c>
      <c r="N276" t="str">
        <f>INDEX(Customer_Table[Email],MATCH(Sales_Table[[#This Row],[CustomerID]],Customer_Table[CustomerID],0))</f>
        <v>customer69@email.com</v>
      </c>
    </row>
    <row r="277" spans="1:14" x14ac:dyDescent="0.3">
      <c r="A277" t="s">
        <v>437</v>
      </c>
      <c r="B277" s="1">
        <v>45321</v>
      </c>
      <c r="C277" s="1" t="str">
        <f>TEXT(Sales_Table[[#This Row],[OrderDate]],"DDDD")</f>
        <v>Tuesday</v>
      </c>
      <c r="D277" s="1" t="str">
        <f>TEXT(Sales_Table[[#This Row],[OrderDate]],"MMMM")</f>
        <v>January</v>
      </c>
      <c r="E277" t="s">
        <v>249</v>
      </c>
      <c r="F277" t="s">
        <v>25</v>
      </c>
      <c r="G277">
        <v>4</v>
      </c>
      <c r="H277">
        <v>1577.84</v>
      </c>
      <c r="I277" t="str">
        <f>VLOOKUP(Sales_Table[[#This Row],[ProductID]],Product_Table[],2,FALSE)</f>
        <v>Product_6</v>
      </c>
      <c r="J277" t="str">
        <f>VLOOKUP(Sales_Table[[#This Row],[ProductID]],Product_Table[],3,FALSE)</f>
        <v>Clothing</v>
      </c>
      <c r="K277">
        <f>_xlfn.XLOOKUP(Sales_Table[[#This Row],[ProductID]],Product_Table[ProductID],Product_Table[UnitPrice],"NULL",0)</f>
        <v>394.46</v>
      </c>
      <c r="L277" t="str">
        <f>_xlfn.XLOOKUP(Sales_Table[[#This Row],[CustomerID]],Customer_Table[CustomerID],Customer_Table[CustomerName],"NULL",0)</f>
        <v>Customer_15</v>
      </c>
      <c r="M277" t="str">
        <f>INDEX(Customer_Table[Country],MATCH(Sales_Table[[#This Row],[CustomerID]],Customer_Table[CustomerID],0))</f>
        <v>United States</v>
      </c>
      <c r="N277" t="str">
        <f>INDEX(Customer_Table[Email],MATCH(Sales_Table[[#This Row],[CustomerID]],Customer_Table[CustomerID],0))</f>
        <v>customer15@email.com</v>
      </c>
    </row>
    <row r="278" spans="1:14" x14ac:dyDescent="0.3">
      <c r="A278" t="s">
        <v>438</v>
      </c>
      <c r="B278" s="1">
        <v>45394</v>
      </c>
      <c r="C278" s="1" t="str">
        <f>TEXT(Sales_Table[[#This Row],[OrderDate]],"DDDD")</f>
        <v>Friday</v>
      </c>
      <c r="D278" s="1" t="str">
        <f>TEXT(Sales_Table[[#This Row],[OrderDate]],"MMMM")</f>
        <v>April</v>
      </c>
      <c r="E278" t="s">
        <v>439</v>
      </c>
      <c r="F278" t="s">
        <v>239</v>
      </c>
      <c r="G278">
        <v>1</v>
      </c>
      <c r="H278">
        <v>243.63</v>
      </c>
      <c r="I278" t="str">
        <f>VLOOKUP(Sales_Table[[#This Row],[ProductID]],Product_Table[],2,FALSE)</f>
        <v>Product_34</v>
      </c>
      <c r="J278" t="str">
        <f>VLOOKUP(Sales_Table[[#This Row],[ProductID]],Product_Table[],3,FALSE)</f>
        <v>Sports</v>
      </c>
      <c r="K278">
        <f>_xlfn.XLOOKUP(Sales_Table[[#This Row],[ProductID]],Product_Table[ProductID],Product_Table[UnitPrice],"NULL",0)</f>
        <v>243.63</v>
      </c>
      <c r="L278" t="str">
        <f>_xlfn.XLOOKUP(Sales_Table[[#This Row],[CustomerID]],Customer_Table[CustomerID],Customer_Table[CustomerName],"NULL",0)</f>
        <v>Customer_54</v>
      </c>
      <c r="M278" t="str">
        <f>INDEX(Customer_Table[Country],MATCH(Sales_Table[[#This Row],[CustomerID]],Customer_Table[CustomerID],0))</f>
        <v>United Kingdom</v>
      </c>
      <c r="N278" t="str">
        <f>INDEX(Customer_Table[Email],MATCH(Sales_Table[[#This Row],[CustomerID]],Customer_Table[CustomerID],0))</f>
        <v>customer54@email.com</v>
      </c>
    </row>
    <row r="279" spans="1:14" x14ac:dyDescent="0.3">
      <c r="A279" t="s">
        <v>440</v>
      </c>
      <c r="B279" s="1">
        <v>45310</v>
      </c>
      <c r="C279" s="1" t="str">
        <f>TEXT(Sales_Table[[#This Row],[OrderDate]],"DDDD")</f>
        <v>Friday</v>
      </c>
      <c r="D279" s="1" t="str">
        <f>TEXT(Sales_Table[[#This Row],[OrderDate]],"MMMM")</f>
        <v>January</v>
      </c>
      <c r="E279" t="s">
        <v>255</v>
      </c>
      <c r="F279" t="s">
        <v>76</v>
      </c>
      <c r="G279">
        <v>4</v>
      </c>
      <c r="H279">
        <v>1609.16</v>
      </c>
      <c r="I279" t="str">
        <f>VLOOKUP(Sales_Table[[#This Row],[ProductID]],Product_Table[],2,FALSE)</f>
        <v>Product_13</v>
      </c>
      <c r="J279" t="str">
        <f>VLOOKUP(Sales_Table[[#This Row],[ProductID]],Product_Table[],3,FALSE)</f>
        <v>Home</v>
      </c>
      <c r="K279">
        <f>_xlfn.XLOOKUP(Sales_Table[[#This Row],[ProductID]],Product_Table[ProductID],Product_Table[UnitPrice],"NULL",0)</f>
        <v>402.29</v>
      </c>
      <c r="L279" t="str">
        <f>_xlfn.XLOOKUP(Sales_Table[[#This Row],[CustomerID]],Customer_Table[CustomerID],Customer_Table[CustomerName],"NULL",0)</f>
        <v>Customer_114</v>
      </c>
      <c r="M279" t="str">
        <f>INDEX(Customer_Table[Country],MATCH(Sales_Table[[#This Row],[CustomerID]],Customer_Table[CustomerID],0))</f>
        <v>United States</v>
      </c>
      <c r="N279" t="str">
        <f>INDEX(Customer_Table[Email],MATCH(Sales_Table[[#This Row],[CustomerID]],Customer_Table[CustomerID],0))</f>
        <v>customer114@email.com</v>
      </c>
    </row>
    <row r="280" spans="1:14" x14ac:dyDescent="0.3">
      <c r="A280" t="s">
        <v>441</v>
      </c>
      <c r="B280" s="1">
        <v>45453</v>
      </c>
      <c r="C280" s="1" t="str">
        <f>TEXT(Sales_Table[[#This Row],[OrderDate]],"DDDD")</f>
        <v>Monday</v>
      </c>
      <c r="D280" s="1" t="str">
        <f>TEXT(Sales_Table[[#This Row],[OrderDate]],"MMMM")</f>
        <v>June</v>
      </c>
      <c r="E280" t="s">
        <v>24</v>
      </c>
      <c r="F280" t="s">
        <v>204</v>
      </c>
      <c r="G280">
        <v>5</v>
      </c>
      <c r="H280">
        <v>1229.3499999999999</v>
      </c>
      <c r="I280" t="str">
        <f>VLOOKUP(Sales_Table[[#This Row],[ProductID]],Product_Table[],2,FALSE)</f>
        <v>Product_23</v>
      </c>
      <c r="J280" t="str">
        <f>VLOOKUP(Sales_Table[[#This Row],[ProductID]],Product_Table[],3,FALSE)</f>
        <v>Beauty</v>
      </c>
      <c r="K280">
        <f>_xlfn.XLOOKUP(Sales_Table[[#This Row],[ProductID]],Product_Table[ProductID],Product_Table[UnitPrice],"NULL",0)</f>
        <v>245.87</v>
      </c>
      <c r="L280" t="str">
        <f>_xlfn.XLOOKUP(Sales_Table[[#This Row],[CustomerID]],Customer_Table[CustomerID],Customer_Table[CustomerName],"NULL",0)</f>
        <v>Customer_97</v>
      </c>
      <c r="M280" t="str">
        <f>INDEX(Customer_Table[Country],MATCH(Sales_Table[[#This Row],[CustomerID]],Customer_Table[CustomerID],0))</f>
        <v>Canada</v>
      </c>
      <c r="N280" t="str">
        <f>INDEX(Customer_Table[Email],MATCH(Sales_Table[[#This Row],[CustomerID]],Customer_Table[CustomerID],0))</f>
        <v>customer97@email.com</v>
      </c>
    </row>
    <row r="281" spans="1:14" x14ac:dyDescent="0.3">
      <c r="A281" t="s">
        <v>442</v>
      </c>
      <c r="B281" s="1">
        <v>45330</v>
      </c>
      <c r="C281" s="1" t="str">
        <f>TEXT(Sales_Table[[#This Row],[OrderDate]],"DDDD")</f>
        <v>Thursday</v>
      </c>
      <c r="D281" s="1" t="str">
        <f>TEXT(Sales_Table[[#This Row],[OrderDate]],"MMMM")</f>
        <v>February</v>
      </c>
      <c r="E281" t="s">
        <v>178</v>
      </c>
      <c r="F281" t="s">
        <v>31</v>
      </c>
      <c r="G281">
        <v>1</v>
      </c>
      <c r="H281">
        <v>103.3</v>
      </c>
      <c r="I281" t="str">
        <f>VLOOKUP(Sales_Table[[#This Row],[ProductID]],Product_Table[],2,FALSE)</f>
        <v>Product_7</v>
      </c>
      <c r="J281" t="str">
        <f>VLOOKUP(Sales_Table[[#This Row],[ProductID]],Product_Table[],3,FALSE)</f>
        <v>Beauty</v>
      </c>
      <c r="K281">
        <f>_xlfn.XLOOKUP(Sales_Table[[#This Row],[ProductID]],Product_Table[ProductID],Product_Table[UnitPrice],"NULL",0)</f>
        <v>103.3</v>
      </c>
      <c r="L281" t="str">
        <f>_xlfn.XLOOKUP(Sales_Table[[#This Row],[CustomerID]],Customer_Table[CustomerID],Customer_Table[CustomerName],"NULL",0)</f>
        <v>Customer_3</v>
      </c>
      <c r="M281" t="str">
        <f>INDEX(Customer_Table[Country],MATCH(Sales_Table[[#This Row],[CustomerID]],Customer_Table[CustomerID],0))</f>
        <v>United Kingdom</v>
      </c>
      <c r="N281" t="str">
        <f>INDEX(Customer_Table[Email],MATCH(Sales_Table[[#This Row],[CustomerID]],Customer_Table[CustomerID],0))</f>
        <v>customer3@email.com</v>
      </c>
    </row>
    <row r="282" spans="1:14" x14ac:dyDescent="0.3">
      <c r="A282" t="s">
        <v>443</v>
      </c>
      <c r="B282" s="1">
        <v>45436</v>
      </c>
      <c r="C282" s="1" t="str">
        <f>TEXT(Sales_Table[[#This Row],[OrderDate]],"DDDD")</f>
        <v>Friday</v>
      </c>
      <c r="D282" s="1" t="str">
        <f>TEXT(Sales_Table[[#This Row],[OrderDate]],"MMMM")</f>
        <v>May</v>
      </c>
      <c r="E282" t="s">
        <v>444</v>
      </c>
      <c r="F282" t="s">
        <v>71</v>
      </c>
      <c r="G282">
        <v>2</v>
      </c>
      <c r="H282">
        <v>115.96</v>
      </c>
      <c r="I282" t="str">
        <f>VLOOKUP(Sales_Table[[#This Row],[ProductID]],Product_Table[],2,FALSE)</f>
        <v>Product_19</v>
      </c>
      <c r="J282" t="str">
        <f>VLOOKUP(Sales_Table[[#This Row],[ProductID]],Product_Table[],3,FALSE)</f>
        <v>Sports</v>
      </c>
      <c r="K282">
        <f>_xlfn.XLOOKUP(Sales_Table[[#This Row],[ProductID]],Product_Table[ProductID],Product_Table[UnitPrice],"NULL",0)</f>
        <v>57.98</v>
      </c>
      <c r="L282" t="str">
        <f>_xlfn.XLOOKUP(Sales_Table[[#This Row],[CustomerID]],Customer_Table[CustomerID],Customer_Table[CustomerName],"NULL",0)</f>
        <v>Customer_108</v>
      </c>
      <c r="M282" t="str">
        <f>INDEX(Customer_Table[Country],MATCH(Sales_Table[[#This Row],[CustomerID]],Customer_Table[CustomerID],0))</f>
        <v>United States</v>
      </c>
      <c r="N282" t="str">
        <f>INDEX(Customer_Table[Email],MATCH(Sales_Table[[#This Row],[CustomerID]],Customer_Table[CustomerID],0))</f>
        <v>customer108@email.com</v>
      </c>
    </row>
    <row r="283" spans="1:14" x14ac:dyDescent="0.3">
      <c r="A283" t="s">
        <v>445</v>
      </c>
      <c r="B283" s="1">
        <v>45313</v>
      </c>
      <c r="C283" s="1" t="str">
        <f>TEXT(Sales_Table[[#This Row],[OrderDate]],"DDDD")</f>
        <v>Monday</v>
      </c>
      <c r="D283" s="1" t="str">
        <f>TEXT(Sales_Table[[#This Row],[OrderDate]],"MMMM")</f>
        <v>January</v>
      </c>
      <c r="E283" t="s">
        <v>119</v>
      </c>
      <c r="F283" t="s">
        <v>71</v>
      </c>
      <c r="G283">
        <v>3</v>
      </c>
      <c r="H283">
        <v>173.94</v>
      </c>
      <c r="I283" t="str">
        <f>VLOOKUP(Sales_Table[[#This Row],[ProductID]],Product_Table[],2,FALSE)</f>
        <v>Product_19</v>
      </c>
      <c r="J283" t="str">
        <f>VLOOKUP(Sales_Table[[#This Row],[ProductID]],Product_Table[],3,FALSE)</f>
        <v>Sports</v>
      </c>
      <c r="K283">
        <f>_xlfn.XLOOKUP(Sales_Table[[#This Row],[ProductID]],Product_Table[ProductID],Product_Table[UnitPrice],"NULL",0)</f>
        <v>57.98</v>
      </c>
      <c r="L283" t="str">
        <f>_xlfn.XLOOKUP(Sales_Table[[#This Row],[CustomerID]],Customer_Table[CustomerID],Customer_Table[CustomerName],"NULL",0)</f>
        <v>Customer_59</v>
      </c>
      <c r="M283" t="str">
        <f>INDEX(Customer_Table[Country],MATCH(Sales_Table[[#This Row],[CustomerID]],Customer_Table[CustomerID],0))</f>
        <v>United Kingdom</v>
      </c>
      <c r="N283" t="str">
        <f>INDEX(Customer_Table[Email],MATCH(Sales_Table[[#This Row],[CustomerID]],Customer_Table[CustomerID],0))</f>
        <v>customer59@email.com</v>
      </c>
    </row>
    <row r="284" spans="1:14" x14ac:dyDescent="0.3">
      <c r="A284" t="s">
        <v>446</v>
      </c>
      <c r="B284" s="1">
        <v>45322</v>
      </c>
      <c r="C284" s="1" t="str">
        <f>TEXT(Sales_Table[[#This Row],[OrderDate]],"DDDD")</f>
        <v>Wednesday</v>
      </c>
      <c r="D284" s="1" t="str">
        <f>TEXT(Sales_Table[[#This Row],[OrderDate]],"MMMM")</f>
        <v>January</v>
      </c>
      <c r="E284" t="s">
        <v>447</v>
      </c>
      <c r="F284" t="s">
        <v>28</v>
      </c>
      <c r="G284">
        <v>2</v>
      </c>
      <c r="H284">
        <v>415.7</v>
      </c>
      <c r="I284" t="str">
        <f>VLOOKUP(Sales_Table[[#This Row],[ProductID]],Product_Table[],2,FALSE)</f>
        <v>Product_39</v>
      </c>
      <c r="J284" t="str">
        <f>VLOOKUP(Sales_Table[[#This Row],[ProductID]],Product_Table[],3,FALSE)</f>
        <v>Clothing</v>
      </c>
      <c r="K284">
        <f>_xlfn.XLOOKUP(Sales_Table[[#This Row],[ProductID]],Product_Table[ProductID],Product_Table[UnitPrice],"NULL",0)</f>
        <v>207.85</v>
      </c>
      <c r="L284" t="str">
        <f>_xlfn.XLOOKUP(Sales_Table[[#This Row],[CustomerID]],Customer_Table[CustomerID],Customer_Table[CustomerName],"NULL",0)</f>
        <v>Customer_55</v>
      </c>
      <c r="M284" t="str">
        <f>INDEX(Customer_Table[Country],MATCH(Sales_Table[[#This Row],[CustomerID]],Customer_Table[CustomerID],0))</f>
        <v>Canada</v>
      </c>
      <c r="N284" t="str">
        <f>INDEX(Customer_Table[Email],MATCH(Sales_Table[[#This Row],[CustomerID]],Customer_Table[CustomerID],0))</f>
        <v>customer55@email.com</v>
      </c>
    </row>
    <row r="285" spans="1:14" x14ac:dyDescent="0.3">
      <c r="A285" t="s">
        <v>448</v>
      </c>
      <c r="B285" s="1">
        <v>45398</v>
      </c>
      <c r="C285" s="1" t="str">
        <f>TEXT(Sales_Table[[#This Row],[OrderDate]],"DDDD")</f>
        <v>Tuesday</v>
      </c>
      <c r="D285" s="1" t="str">
        <f>TEXT(Sales_Table[[#This Row],[OrderDate]],"MMMM")</f>
        <v>April</v>
      </c>
      <c r="E285" t="s">
        <v>399</v>
      </c>
      <c r="F285" t="s">
        <v>239</v>
      </c>
      <c r="G285">
        <v>5</v>
      </c>
      <c r="H285">
        <v>1218.1500000000001</v>
      </c>
      <c r="I285" t="str">
        <f>VLOOKUP(Sales_Table[[#This Row],[ProductID]],Product_Table[],2,FALSE)</f>
        <v>Product_34</v>
      </c>
      <c r="J285" t="str">
        <f>VLOOKUP(Sales_Table[[#This Row],[ProductID]],Product_Table[],3,FALSE)</f>
        <v>Sports</v>
      </c>
      <c r="K285">
        <f>_xlfn.XLOOKUP(Sales_Table[[#This Row],[ProductID]],Product_Table[ProductID],Product_Table[UnitPrice],"NULL",0)</f>
        <v>243.63</v>
      </c>
      <c r="L285" t="str">
        <f>_xlfn.XLOOKUP(Sales_Table[[#This Row],[CustomerID]],Customer_Table[CustomerID],Customer_Table[CustomerName],"NULL",0)</f>
        <v>Customer_117</v>
      </c>
      <c r="M285" t="str">
        <f>INDEX(Customer_Table[Country],MATCH(Sales_Table[[#This Row],[CustomerID]],Customer_Table[CustomerID],0))</f>
        <v>United Kingdom</v>
      </c>
      <c r="N285" t="str">
        <f>INDEX(Customer_Table[Email],MATCH(Sales_Table[[#This Row],[CustomerID]],Customer_Table[CustomerID],0))</f>
        <v>customer117@email.com</v>
      </c>
    </row>
    <row r="286" spans="1:14" x14ac:dyDescent="0.3">
      <c r="A286" t="s">
        <v>449</v>
      </c>
      <c r="B286" s="1">
        <v>45444</v>
      </c>
      <c r="C286" s="1" t="str">
        <f>TEXT(Sales_Table[[#This Row],[OrderDate]],"DDDD")</f>
        <v>Saturday</v>
      </c>
      <c r="D286" s="1" t="str">
        <f>TEXT(Sales_Table[[#This Row],[OrderDate]],"MMMM")</f>
        <v>June</v>
      </c>
      <c r="E286" t="s">
        <v>450</v>
      </c>
      <c r="F286" t="s">
        <v>160</v>
      </c>
      <c r="G286">
        <v>5</v>
      </c>
      <c r="H286">
        <v>1704.25</v>
      </c>
      <c r="I286" t="str">
        <f>VLOOKUP(Sales_Table[[#This Row],[ProductID]],Product_Table[],2,FALSE)</f>
        <v>Product_38</v>
      </c>
      <c r="J286" t="str">
        <f>VLOOKUP(Sales_Table[[#This Row],[ProductID]],Product_Table[],3,FALSE)</f>
        <v>Electronics</v>
      </c>
      <c r="K286">
        <f>_xlfn.XLOOKUP(Sales_Table[[#This Row],[ProductID]],Product_Table[ProductID],Product_Table[UnitPrice],"NULL",0)</f>
        <v>340.85</v>
      </c>
      <c r="L286" t="str">
        <f>_xlfn.XLOOKUP(Sales_Table[[#This Row],[CustomerID]],Customer_Table[CustomerID],Customer_Table[CustomerName],"NULL",0)</f>
        <v>Customer_17</v>
      </c>
      <c r="M286" t="str">
        <f>INDEX(Customer_Table[Country],MATCH(Sales_Table[[#This Row],[CustomerID]],Customer_Table[CustomerID],0))</f>
        <v>United Kingdom</v>
      </c>
      <c r="N286" t="str">
        <f>INDEX(Customer_Table[Email],MATCH(Sales_Table[[#This Row],[CustomerID]],Customer_Table[CustomerID],0))</f>
        <v>customer17@email.com</v>
      </c>
    </row>
    <row r="287" spans="1:14" x14ac:dyDescent="0.3">
      <c r="A287" t="s">
        <v>451</v>
      </c>
      <c r="B287" s="1">
        <v>45349</v>
      </c>
      <c r="C287" s="1" t="str">
        <f>TEXT(Sales_Table[[#This Row],[OrderDate]],"DDDD")</f>
        <v>Tuesday</v>
      </c>
      <c r="D287" s="1" t="str">
        <f>TEXT(Sales_Table[[#This Row],[OrderDate]],"MMMM")</f>
        <v>February</v>
      </c>
      <c r="E287" t="s">
        <v>103</v>
      </c>
      <c r="F287" t="s">
        <v>160</v>
      </c>
      <c r="G287">
        <v>5</v>
      </c>
      <c r="H287">
        <v>1704.25</v>
      </c>
      <c r="I287" t="str">
        <f>VLOOKUP(Sales_Table[[#This Row],[ProductID]],Product_Table[],2,FALSE)</f>
        <v>Product_38</v>
      </c>
      <c r="J287" t="str">
        <f>VLOOKUP(Sales_Table[[#This Row],[ProductID]],Product_Table[],3,FALSE)</f>
        <v>Electronics</v>
      </c>
      <c r="K287">
        <f>_xlfn.XLOOKUP(Sales_Table[[#This Row],[ProductID]],Product_Table[ProductID],Product_Table[UnitPrice],"NULL",0)</f>
        <v>340.85</v>
      </c>
      <c r="L287" t="str">
        <f>_xlfn.XLOOKUP(Sales_Table[[#This Row],[CustomerID]],Customer_Table[CustomerID],Customer_Table[CustomerName],"NULL",0)</f>
        <v>Customer_99</v>
      </c>
      <c r="M287" t="str">
        <f>INDEX(Customer_Table[Country],MATCH(Sales_Table[[#This Row],[CustomerID]],Customer_Table[CustomerID],0))</f>
        <v>United Kingdom</v>
      </c>
      <c r="N287" t="str">
        <f>INDEX(Customer_Table[Email],MATCH(Sales_Table[[#This Row],[CustomerID]],Customer_Table[CustomerID],0))</f>
        <v>customer99@email.com</v>
      </c>
    </row>
    <row r="288" spans="1:14" x14ac:dyDescent="0.3">
      <c r="A288" t="s">
        <v>452</v>
      </c>
      <c r="B288" s="1">
        <v>45389</v>
      </c>
      <c r="C288" s="1" t="str">
        <f>TEXT(Sales_Table[[#This Row],[OrderDate]],"DDDD")</f>
        <v>Sunday</v>
      </c>
      <c r="D288" s="1" t="str">
        <f>TEXT(Sales_Table[[#This Row],[OrderDate]],"MMMM")</f>
        <v>April</v>
      </c>
      <c r="E288" t="s">
        <v>48</v>
      </c>
      <c r="F288" t="s">
        <v>173</v>
      </c>
      <c r="G288">
        <v>5</v>
      </c>
      <c r="H288">
        <v>1309.7</v>
      </c>
      <c r="I288" t="str">
        <f>VLOOKUP(Sales_Table[[#This Row],[ProductID]],Product_Table[],2,FALSE)</f>
        <v>Product_2</v>
      </c>
      <c r="J288" t="str">
        <f>VLOOKUP(Sales_Table[[#This Row],[ProductID]],Product_Table[],3,FALSE)</f>
        <v>Electronics</v>
      </c>
      <c r="K288">
        <f>_xlfn.XLOOKUP(Sales_Table[[#This Row],[ProductID]],Product_Table[ProductID],Product_Table[UnitPrice],"NULL",0)</f>
        <v>261.94</v>
      </c>
      <c r="L288" t="str">
        <f>_xlfn.XLOOKUP(Sales_Table[[#This Row],[CustomerID]],Customer_Table[CustomerID],Customer_Table[CustomerName],"NULL",0)</f>
        <v>Customer_25</v>
      </c>
      <c r="M288" t="str">
        <f>INDEX(Customer_Table[Country],MATCH(Sales_Table[[#This Row],[CustomerID]],Customer_Table[CustomerID],0))</f>
        <v>United Kingdom</v>
      </c>
      <c r="N288" t="str">
        <f>INDEX(Customer_Table[Email],MATCH(Sales_Table[[#This Row],[CustomerID]],Customer_Table[CustomerID],0))</f>
        <v>customer25@email.com</v>
      </c>
    </row>
    <row r="289" spans="1:14" x14ac:dyDescent="0.3">
      <c r="A289" t="s">
        <v>453</v>
      </c>
      <c r="B289" s="1">
        <v>45405</v>
      </c>
      <c r="C289" s="1" t="str">
        <f>TEXT(Sales_Table[[#This Row],[OrderDate]],"DDDD")</f>
        <v>Tuesday</v>
      </c>
      <c r="D289" s="1" t="str">
        <f>TEXT(Sales_Table[[#This Row],[OrderDate]],"MMMM")</f>
        <v>April</v>
      </c>
      <c r="E289" t="s">
        <v>59</v>
      </c>
      <c r="F289" t="s">
        <v>57</v>
      </c>
      <c r="G289">
        <v>4</v>
      </c>
      <c r="H289">
        <v>1175.2</v>
      </c>
      <c r="I289" t="str">
        <f>VLOOKUP(Sales_Table[[#This Row],[ProductID]],Product_Table[],2,FALSE)</f>
        <v>Product_31</v>
      </c>
      <c r="J289" t="str">
        <f>VLOOKUP(Sales_Table[[#This Row],[ProductID]],Product_Table[],3,FALSE)</f>
        <v>Electronics</v>
      </c>
      <c r="K289">
        <f>_xlfn.XLOOKUP(Sales_Table[[#This Row],[ProductID]],Product_Table[ProductID],Product_Table[UnitPrice],"NULL",0)</f>
        <v>293.8</v>
      </c>
      <c r="L289" t="str">
        <f>_xlfn.XLOOKUP(Sales_Table[[#This Row],[CustomerID]],Customer_Table[CustomerID],Customer_Table[CustomerName],"NULL",0)</f>
        <v>Customer_80</v>
      </c>
      <c r="M289" t="str">
        <f>INDEX(Customer_Table[Country],MATCH(Sales_Table[[#This Row],[CustomerID]],Customer_Table[CustomerID],0))</f>
        <v>United States</v>
      </c>
      <c r="N289" t="str">
        <f>INDEX(Customer_Table[Email],MATCH(Sales_Table[[#This Row],[CustomerID]],Customer_Table[CustomerID],0))</f>
        <v>customer80@email.com</v>
      </c>
    </row>
    <row r="290" spans="1:14" x14ac:dyDescent="0.3">
      <c r="A290" t="s">
        <v>454</v>
      </c>
      <c r="B290" s="1">
        <v>45442</v>
      </c>
      <c r="C290" s="1" t="str">
        <f>TEXT(Sales_Table[[#This Row],[OrderDate]],"DDDD")</f>
        <v>Thursday</v>
      </c>
      <c r="D290" s="1" t="str">
        <f>TEXT(Sales_Table[[#This Row],[OrderDate]],"MMMM")</f>
        <v>May</v>
      </c>
      <c r="E290" t="s">
        <v>45</v>
      </c>
      <c r="F290" t="s">
        <v>46</v>
      </c>
      <c r="G290">
        <v>3</v>
      </c>
      <c r="H290">
        <v>1002.96</v>
      </c>
      <c r="I290" t="str">
        <f>VLOOKUP(Sales_Table[[#This Row],[ProductID]],Product_Table[],2,FALSE)</f>
        <v>Product_28</v>
      </c>
      <c r="J290" t="str">
        <f>VLOOKUP(Sales_Table[[#This Row],[ProductID]],Product_Table[],3,FALSE)</f>
        <v>Sports</v>
      </c>
      <c r="K290">
        <f>_xlfn.XLOOKUP(Sales_Table[[#This Row],[ProductID]],Product_Table[ProductID],Product_Table[UnitPrice],"NULL",0)</f>
        <v>334.32</v>
      </c>
      <c r="L290" t="str">
        <f>_xlfn.XLOOKUP(Sales_Table[[#This Row],[CustomerID]],Customer_Table[CustomerID],Customer_Table[CustomerName],"NULL",0)</f>
        <v>Customer_110</v>
      </c>
      <c r="M290" t="str">
        <f>INDEX(Customer_Table[Country],MATCH(Sales_Table[[#This Row],[CustomerID]],Customer_Table[CustomerID],0))</f>
        <v>United States</v>
      </c>
      <c r="N290" t="str">
        <f>INDEX(Customer_Table[Email],MATCH(Sales_Table[[#This Row],[CustomerID]],Customer_Table[CustomerID],0))</f>
        <v>customer110@email.com</v>
      </c>
    </row>
    <row r="291" spans="1:14" x14ac:dyDescent="0.3">
      <c r="A291" t="s">
        <v>455</v>
      </c>
      <c r="B291" s="1">
        <v>45370</v>
      </c>
      <c r="C291" s="1" t="str">
        <f>TEXT(Sales_Table[[#This Row],[OrderDate]],"DDDD")</f>
        <v>Tuesday</v>
      </c>
      <c r="D291" s="1" t="str">
        <f>TEXT(Sales_Table[[#This Row],[OrderDate]],"MMMM")</f>
        <v>March</v>
      </c>
      <c r="E291" t="s">
        <v>251</v>
      </c>
      <c r="F291" t="s">
        <v>76</v>
      </c>
      <c r="G291">
        <v>4</v>
      </c>
      <c r="H291">
        <v>1609.16</v>
      </c>
      <c r="I291" t="str">
        <f>VLOOKUP(Sales_Table[[#This Row],[ProductID]],Product_Table[],2,FALSE)</f>
        <v>Product_13</v>
      </c>
      <c r="J291" t="str">
        <f>VLOOKUP(Sales_Table[[#This Row],[ProductID]],Product_Table[],3,FALSE)</f>
        <v>Home</v>
      </c>
      <c r="K291">
        <f>_xlfn.XLOOKUP(Sales_Table[[#This Row],[ProductID]],Product_Table[ProductID],Product_Table[UnitPrice],"NULL",0)</f>
        <v>402.29</v>
      </c>
      <c r="L291" t="str">
        <f>_xlfn.XLOOKUP(Sales_Table[[#This Row],[CustomerID]],Customer_Table[CustomerID],Customer_Table[CustomerName],"NULL",0)</f>
        <v>Customer_29</v>
      </c>
      <c r="M291" t="str">
        <f>INDEX(Customer_Table[Country],MATCH(Sales_Table[[#This Row],[CustomerID]],Customer_Table[CustomerID],0))</f>
        <v>India</v>
      </c>
      <c r="N291" t="str">
        <f>INDEX(Customer_Table[Email],MATCH(Sales_Table[[#This Row],[CustomerID]],Customer_Table[CustomerID],0))</f>
        <v>customer29@email.com</v>
      </c>
    </row>
    <row r="292" spans="1:14" x14ac:dyDescent="0.3">
      <c r="A292" t="s">
        <v>456</v>
      </c>
      <c r="B292" s="1">
        <v>45450</v>
      </c>
      <c r="C292" s="1" t="str">
        <f>TEXT(Sales_Table[[#This Row],[OrderDate]],"DDDD")</f>
        <v>Friday</v>
      </c>
      <c r="D292" s="1" t="str">
        <f>TEXT(Sales_Table[[#This Row],[OrderDate]],"MMMM")</f>
        <v>June</v>
      </c>
      <c r="E292" t="s">
        <v>196</v>
      </c>
      <c r="F292" t="s">
        <v>132</v>
      </c>
      <c r="G292">
        <v>5</v>
      </c>
      <c r="H292">
        <v>198.5</v>
      </c>
      <c r="I292" t="str">
        <f>VLOOKUP(Sales_Table[[#This Row],[ProductID]],Product_Table[],2,FALSE)</f>
        <v>Product_12</v>
      </c>
      <c r="J292" t="str">
        <f>VLOOKUP(Sales_Table[[#This Row],[ProductID]],Product_Table[],3,FALSE)</f>
        <v>Electronics</v>
      </c>
      <c r="K292">
        <f>_xlfn.XLOOKUP(Sales_Table[[#This Row],[ProductID]],Product_Table[ProductID],Product_Table[UnitPrice],"NULL",0)</f>
        <v>39.700000000000003</v>
      </c>
      <c r="L292" t="str">
        <f>_xlfn.XLOOKUP(Sales_Table[[#This Row],[CustomerID]],Customer_Table[CustomerID],Customer_Table[CustomerName],"NULL",0)</f>
        <v>Customer_94</v>
      </c>
      <c r="M292" t="str">
        <f>INDEX(Customer_Table[Country],MATCH(Sales_Table[[#This Row],[CustomerID]],Customer_Table[CustomerID],0))</f>
        <v>United Kingdom</v>
      </c>
      <c r="N292" t="str">
        <f>INDEX(Customer_Table[Email],MATCH(Sales_Table[[#This Row],[CustomerID]],Customer_Table[CustomerID],0))</f>
        <v>customer94@email.com</v>
      </c>
    </row>
    <row r="293" spans="1:14" x14ac:dyDescent="0.3">
      <c r="A293" t="s">
        <v>457</v>
      </c>
      <c r="B293" s="1">
        <v>45448</v>
      </c>
      <c r="C293" s="1" t="str">
        <f>TEXT(Sales_Table[[#This Row],[OrderDate]],"DDDD")</f>
        <v>Wednesday</v>
      </c>
      <c r="D293" s="1" t="str">
        <f>TEXT(Sales_Table[[#This Row],[OrderDate]],"MMMM")</f>
        <v>June</v>
      </c>
      <c r="E293" t="s">
        <v>184</v>
      </c>
      <c r="F293" t="s">
        <v>156</v>
      </c>
      <c r="G293">
        <v>1</v>
      </c>
      <c r="H293">
        <v>339.95</v>
      </c>
      <c r="I293" t="str">
        <f>VLOOKUP(Sales_Table[[#This Row],[ProductID]],Product_Table[],2,FALSE)</f>
        <v>Product_11</v>
      </c>
      <c r="J293" t="str">
        <f>VLOOKUP(Sales_Table[[#This Row],[ProductID]],Product_Table[],3,FALSE)</f>
        <v>Electronics</v>
      </c>
      <c r="K293">
        <f>_xlfn.XLOOKUP(Sales_Table[[#This Row],[ProductID]],Product_Table[ProductID],Product_Table[UnitPrice],"NULL",0)</f>
        <v>339.95</v>
      </c>
      <c r="L293" t="str">
        <f>_xlfn.XLOOKUP(Sales_Table[[#This Row],[CustomerID]],Customer_Table[CustomerID],Customer_Table[CustomerName],"NULL",0)</f>
        <v>Customer_35</v>
      </c>
      <c r="M293" t="str">
        <f>INDEX(Customer_Table[Country],MATCH(Sales_Table[[#This Row],[CustomerID]],Customer_Table[CustomerID],0))</f>
        <v>United Kingdom</v>
      </c>
      <c r="N293" t="str">
        <f>INDEX(Customer_Table[Email],MATCH(Sales_Table[[#This Row],[CustomerID]],Customer_Table[CustomerID],0))</f>
        <v>customer35@email.com</v>
      </c>
    </row>
    <row r="294" spans="1:14" x14ac:dyDescent="0.3">
      <c r="A294" t="s">
        <v>458</v>
      </c>
      <c r="B294" s="1">
        <v>45345</v>
      </c>
      <c r="C294" s="1" t="str">
        <f>TEXT(Sales_Table[[#This Row],[OrderDate]],"DDDD")</f>
        <v>Friday</v>
      </c>
      <c r="D294" s="1" t="str">
        <f>TEXT(Sales_Table[[#This Row],[OrderDate]],"MMMM")</f>
        <v>February</v>
      </c>
      <c r="E294" t="s">
        <v>459</v>
      </c>
      <c r="F294" t="s">
        <v>36</v>
      </c>
      <c r="G294">
        <v>1</v>
      </c>
      <c r="H294">
        <v>452.2</v>
      </c>
      <c r="I294" t="str">
        <f>VLOOKUP(Sales_Table[[#This Row],[ProductID]],Product_Table[],2,FALSE)</f>
        <v>Product_24</v>
      </c>
      <c r="J294" t="str">
        <f>VLOOKUP(Sales_Table[[#This Row],[ProductID]],Product_Table[],3,FALSE)</f>
        <v>Beauty</v>
      </c>
      <c r="K294">
        <f>_xlfn.XLOOKUP(Sales_Table[[#This Row],[ProductID]],Product_Table[ProductID],Product_Table[UnitPrice],"NULL",0)</f>
        <v>452.2</v>
      </c>
      <c r="L294" t="str">
        <f>_xlfn.XLOOKUP(Sales_Table[[#This Row],[CustomerID]],Customer_Table[CustomerID],Customer_Table[CustomerName],"NULL",0)</f>
        <v>Customer_90</v>
      </c>
      <c r="M294" t="str">
        <f>INDEX(Customer_Table[Country],MATCH(Sales_Table[[#This Row],[CustomerID]],Customer_Table[CustomerID],0))</f>
        <v>United Kingdom</v>
      </c>
      <c r="N294" t="str">
        <f>INDEX(Customer_Table[Email],MATCH(Sales_Table[[#This Row],[CustomerID]],Customer_Table[CustomerID],0))</f>
        <v>customer90@email.com</v>
      </c>
    </row>
    <row r="295" spans="1:14" x14ac:dyDescent="0.3">
      <c r="A295" t="s">
        <v>460</v>
      </c>
      <c r="B295" s="1">
        <v>45359</v>
      </c>
      <c r="C295" s="1" t="str">
        <f>TEXT(Sales_Table[[#This Row],[OrderDate]],"DDDD")</f>
        <v>Friday</v>
      </c>
      <c r="D295" s="1" t="str">
        <f>TEXT(Sales_Table[[#This Row],[OrderDate]],"MMMM")</f>
        <v>March</v>
      </c>
      <c r="E295" t="s">
        <v>315</v>
      </c>
      <c r="F295" t="s">
        <v>19</v>
      </c>
      <c r="G295">
        <v>2</v>
      </c>
      <c r="H295">
        <v>79.739999999999995</v>
      </c>
      <c r="I295" t="str">
        <f>VLOOKUP(Sales_Table[[#This Row],[ProductID]],Product_Table[],2,FALSE)</f>
        <v>Product_32</v>
      </c>
      <c r="J295" t="str">
        <f>VLOOKUP(Sales_Table[[#This Row],[ProductID]],Product_Table[],3,FALSE)</f>
        <v>Sports</v>
      </c>
      <c r="K295">
        <f>_xlfn.XLOOKUP(Sales_Table[[#This Row],[ProductID]],Product_Table[ProductID],Product_Table[UnitPrice],"NULL",0)</f>
        <v>39.869999999999997</v>
      </c>
      <c r="L295" t="str">
        <f>_xlfn.XLOOKUP(Sales_Table[[#This Row],[CustomerID]],Customer_Table[CustomerID],Customer_Table[CustomerName],"NULL",0)</f>
        <v>Customer_74</v>
      </c>
      <c r="M295" t="str">
        <f>INDEX(Customer_Table[Country],MATCH(Sales_Table[[#This Row],[CustomerID]],Customer_Table[CustomerID],0))</f>
        <v>Canada</v>
      </c>
      <c r="N295" t="str">
        <f>INDEX(Customer_Table[Email],MATCH(Sales_Table[[#This Row],[CustomerID]],Customer_Table[CustomerID],0))</f>
        <v>customer74@email.com</v>
      </c>
    </row>
    <row r="296" spans="1:14" x14ac:dyDescent="0.3">
      <c r="A296" t="s">
        <v>461</v>
      </c>
      <c r="B296" s="1">
        <v>45332</v>
      </c>
      <c r="C296" s="1" t="str">
        <f>TEXT(Sales_Table[[#This Row],[OrderDate]],"DDDD")</f>
        <v>Saturday</v>
      </c>
      <c r="D296" s="1" t="str">
        <f>TEXT(Sales_Table[[#This Row],[OrderDate]],"MMMM")</f>
        <v>February</v>
      </c>
      <c r="E296" t="s">
        <v>86</v>
      </c>
      <c r="F296" t="s">
        <v>154</v>
      </c>
      <c r="G296">
        <v>1</v>
      </c>
      <c r="H296">
        <v>332.9</v>
      </c>
      <c r="I296" t="str">
        <f>VLOOKUP(Sales_Table[[#This Row],[ProductID]],Product_Table[],2,FALSE)</f>
        <v>Product_8</v>
      </c>
      <c r="J296" t="str">
        <f>VLOOKUP(Sales_Table[[#This Row],[ProductID]],Product_Table[],3,FALSE)</f>
        <v>Electronics</v>
      </c>
      <c r="K296">
        <f>_xlfn.XLOOKUP(Sales_Table[[#This Row],[ProductID]],Product_Table[ProductID],Product_Table[UnitPrice],"NULL",0)</f>
        <v>332.9</v>
      </c>
      <c r="L296" t="str">
        <f>_xlfn.XLOOKUP(Sales_Table[[#This Row],[CustomerID]],Customer_Table[CustomerID],Customer_Table[CustomerName],"NULL",0)</f>
        <v>Customer_34</v>
      </c>
      <c r="M296" t="str">
        <f>INDEX(Customer_Table[Country],MATCH(Sales_Table[[#This Row],[CustomerID]],Customer_Table[CustomerID],0))</f>
        <v>United States</v>
      </c>
      <c r="N296" t="str">
        <f>INDEX(Customer_Table[Email],MATCH(Sales_Table[[#This Row],[CustomerID]],Customer_Table[CustomerID],0))</f>
        <v>customer34@email.com</v>
      </c>
    </row>
    <row r="297" spans="1:14" x14ac:dyDescent="0.3">
      <c r="A297" t="s">
        <v>462</v>
      </c>
      <c r="B297" s="1">
        <v>45336</v>
      </c>
      <c r="C297" s="1" t="str">
        <f>TEXT(Sales_Table[[#This Row],[OrderDate]],"DDDD")</f>
        <v>Wednesday</v>
      </c>
      <c r="D297" s="1" t="str">
        <f>TEXT(Sales_Table[[#This Row],[OrderDate]],"MMMM")</f>
        <v>February</v>
      </c>
      <c r="E297" t="s">
        <v>243</v>
      </c>
      <c r="F297" t="s">
        <v>168</v>
      </c>
      <c r="G297">
        <v>2</v>
      </c>
      <c r="H297">
        <v>87.16</v>
      </c>
      <c r="I297" t="str">
        <f>VLOOKUP(Sales_Table[[#This Row],[ProductID]],Product_Table[],2,FALSE)</f>
        <v>Product_37</v>
      </c>
      <c r="J297" t="str">
        <f>VLOOKUP(Sales_Table[[#This Row],[ProductID]],Product_Table[],3,FALSE)</f>
        <v>Clothing</v>
      </c>
      <c r="K297">
        <f>_xlfn.XLOOKUP(Sales_Table[[#This Row],[ProductID]],Product_Table[ProductID],Product_Table[UnitPrice],"NULL",0)</f>
        <v>43.58</v>
      </c>
      <c r="L297" t="str">
        <f>_xlfn.XLOOKUP(Sales_Table[[#This Row],[CustomerID]],Customer_Table[CustomerID],Customer_Table[CustomerName],"NULL",0)</f>
        <v>Customer_47</v>
      </c>
      <c r="M297" t="str">
        <f>INDEX(Customer_Table[Country],MATCH(Sales_Table[[#This Row],[CustomerID]],Customer_Table[CustomerID],0))</f>
        <v>United States</v>
      </c>
      <c r="N297" t="str">
        <f>INDEX(Customer_Table[Email],MATCH(Sales_Table[[#This Row],[CustomerID]],Customer_Table[CustomerID],0))</f>
        <v>customer47@email.com</v>
      </c>
    </row>
    <row r="298" spans="1:14" x14ac:dyDescent="0.3">
      <c r="A298" t="s">
        <v>463</v>
      </c>
      <c r="B298" s="1">
        <v>45311</v>
      </c>
      <c r="C298" s="1" t="str">
        <f>TEXT(Sales_Table[[#This Row],[OrderDate]],"DDDD")</f>
        <v>Saturday</v>
      </c>
      <c r="D298" s="1" t="str">
        <f>TEXT(Sales_Table[[#This Row],[OrderDate]],"MMMM")</f>
        <v>January</v>
      </c>
      <c r="E298" t="s">
        <v>331</v>
      </c>
      <c r="F298" t="s">
        <v>57</v>
      </c>
      <c r="G298">
        <v>5</v>
      </c>
      <c r="H298">
        <v>1469</v>
      </c>
      <c r="I298" t="str">
        <f>VLOOKUP(Sales_Table[[#This Row],[ProductID]],Product_Table[],2,FALSE)</f>
        <v>Product_31</v>
      </c>
      <c r="J298" t="str">
        <f>VLOOKUP(Sales_Table[[#This Row],[ProductID]],Product_Table[],3,FALSE)</f>
        <v>Electronics</v>
      </c>
      <c r="K298">
        <f>_xlfn.XLOOKUP(Sales_Table[[#This Row],[ProductID]],Product_Table[ProductID],Product_Table[UnitPrice],"NULL",0)</f>
        <v>293.8</v>
      </c>
      <c r="L298" t="str">
        <f>_xlfn.XLOOKUP(Sales_Table[[#This Row],[CustomerID]],Customer_Table[CustomerID],Customer_Table[CustomerName],"NULL",0)</f>
        <v>Customer_22</v>
      </c>
      <c r="M298" t="str">
        <f>INDEX(Customer_Table[Country],MATCH(Sales_Table[[#This Row],[CustomerID]],Customer_Table[CustomerID],0))</f>
        <v>United States</v>
      </c>
      <c r="N298" t="str">
        <f>INDEX(Customer_Table[Email],MATCH(Sales_Table[[#This Row],[CustomerID]],Customer_Table[CustomerID],0))</f>
        <v>customer22@email.com</v>
      </c>
    </row>
    <row r="299" spans="1:14" x14ac:dyDescent="0.3">
      <c r="A299" t="s">
        <v>464</v>
      </c>
      <c r="B299" s="1">
        <v>45292</v>
      </c>
      <c r="C299" s="1" t="str">
        <f>TEXT(Sales_Table[[#This Row],[OrderDate]],"DDDD")</f>
        <v>Monday</v>
      </c>
      <c r="D299" s="1" t="str">
        <f>TEXT(Sales_Table[[#This Row],[OrderDate]],"MMMM")</f>
        <v>January</v>
      </c>
      <c r="E299" t="s">
        <v>219</v>
      </c>
      <c r="F299" t="s">
        <v>36</v>
      </c>
      <c r="G299">
        <v>2</v>
      </c>
      <c r="H299">
        <v>904.4</v>
      </c>
      <c r="I299" t="str">
        <f>VLOOKUP(Sales_Table[[#This Row],[ProductID]],Product_Table[],2,FALSE)</f>
        <v>Product_24</v>
      </c>
      <c r="J299" t="str">
        <f>VLOOKUP(Sales_Table[[#This Row],[ProductID]],Product_Table[],3,FALSE)</f>
        <v>Beauty</v>
      </c>
      <c r="K299">
        <f>_xlfn.XLOOKUP(Sales_Table[[#This Row],[ProductID]],Product_Table[ProductID],Product_Table[UnitPrice],"NULL",0)</f>
        <v>452.2</v>
      </c>
      <c r="L299" t="str">
        <f>_xlfn.XLOOKUP(Sales_Table[[#This Row],[CustomerID]],Customer_Table[CustomerID],Customer_Table[CustomerName],"NULL",0)</f>
        <v>Customer_36</v>
      </c>
      <c r="M299" t="str">
        <f>INDEX(Customer_Table[Country],MATCH(Sales_Table[[#This Row],[CustomerID]],Customer_Table[CustomerID],0))</f>
        <v>United States</v>
      </c>
      <c r="N299" t="str">
        <f>INDEX(Customer_Table[Email],MATCH(Sales_Table[[#This Row],[CustomerID]],Customer_Table[CustomerID],0))</f>
        <v>customer36@email.com</v>
      </c>
    </row>
    <row r="300" spans="1:14" x14ac:dyDescent="0.3">
      <c r="A300" t="s">
        <v>465</v>
      </c>
      <c r="B300" s="1">
        <v>45407</v>
      </c>
      <c r="C300" s="1" t="str">
        <f>TEXT(Sales_Table[[#This Row],[OrderDate]],"DDDD")</f>
        <v>Thursday</v>
      </c>
      <c r="D300" s="1" t="str">
        <f>TEXT(Sales_Table[[#This Row],[OrderDate]],"MMMM")</f>
        <v>April</v>
      </c>
      <c r="E300" t="s">
        <v>143</v>
      </c>
      <c r="F300" t="s">
        <v>111</v>
      </c>
      <c r="G300">
        <v>4</v>
      </c>
      <c r="H300">
        <v>559.79999999999995</v>
      </c>
      <c r="I300" t="str">
        <f>VLOOKUP(Sales_Table[[#This Row],[ProductID]],Product_Table[],2,FALSE)</f>
        <v>Product_26</v>
      </c>
      <c r="J300" t="str">
        <f>VLOOKUP(Sales_Table[[#This Row],[ProductID]],Product_Table[],3,FALSE)</f>
        <v>Beauty</v>
      </c>
      <c r="K300">
        <f>_xlfn.XLOOKUP(Sales_Table[[#This Row],[ProductID]],Product_Table[ProductID],Product_Table[UnitPrice],"NULL",0)</f>
        <v>139.94999999999999</v>
      </c>
      <c r="L300" t="str">
        <f>_xlfn.XLOOKUP(Sales_Table[[#This Row],[CustomerID]],Customer_Table[CustomerID],Customer_Table[CustomerName],"NULL",0)</f>
        <v>Customer_5</v>
      </c>
      <c r="M300" t="str">
        <f>INDEX(Customer_Table[Country],MATCH(Sales_Table[[#This Row],[CustomerID]],Customer_Table[CustomerID],0))</f>
        <v>India</v>
      </c>
      <c r="N300" t="str">
        <f>INDEX(Customer_Table[Email],MATCH(Sales_Table[[#This Row],[CustomerID]],Customer_Table[CustomerID],0))</f>
        <v>customer5@email.com</v>
      </c>
    </row>
    <row r="301" spans="1:14" x14ac:dyDescent="0.3">
      <c r="A301" t="s">
        <v>466</v>
      </c>
      <c r="B301" s="1">
        <v>45412</v>
      </c>
      <c r="C301" s="1" t="str">
        <f>TEXT(Sales_Table[[#This Row],[OrderDate]],"DDDD")</f>
        <v>Tuesday</v>
      </c>
      <c r="D301" s="1" t="str">
        <f>TEXT(Sales_Table[[#This Row],[OrderDate]],"MMMM")</f>
        <v>April</v>
      </c>
      <c r="E301" t="s">
        <v>56</v>
      </c>
      <c r="F301" t="s">
        <v>22</v>
      </c>
      <c r="G301">
        <v>5</v>
      </c>
      <c r="H301">
        <v>1183.45</v>
      </c>
      <c r="I301" t="str">
        <f>VLOOKUP(Sales_Table[[#This Row],[ProductID]],Product_Table[],2,FALSE)</f>
        <v>Product_17</v>
      </c>
      <c r="J301" t="str">
        <f>VLOOKUP(Sales_Table[[#This Row],[ProductID]],Product_Table[],3,FALSE)</f>
        <v>Home</v>
      </c>
      <c r="K301">
        <f>_xlfn.XLOOKUP(Sales_Table[[#This Row],[ProductID]],Product_Table[ProductID],Product_Table[UnitPrice],"NULL",0)</f>
        <v>236.69</v>
      </c>
      <c r="L301" t="str">
        <f>_xlfn.XLOOKUP(Sales_Table[[#This Row],[CustomerID]],Customer_Table[CustomerID],Customer_Table[CustomerName],"NULL",0)</f>
        <v>Customer_49</v>
      </c>
      <c r="M301" t="str">
        <f>INDEX(Customer_Table[Country],MATCH(Sales_Table[[#This Row],[CustomerID]],Customer_Table[CustomerID],0))</f>
        <v>Canada</v>
      </c>
      <c r="N301" t="str">
        <f>INDEX(Customer_Table[Email],MATCH(Sales_Table[[#This Row],[CustomerID]],Customer_Table[CustomerID],0))</f>
        <v>customer49@email.com</v>
      </c>
    </row>
    <row r="302" spans="1:14" x14ac:dyDescent="0.3">
      <c r="A302" t="s">
        <v>467</v>
      </c>
      <c r="B302" s="1">
        <v>45300</v>
      </c>
      <c r="C302" s="1" t="str">
        <f>TEXT(Sales_Table[[#This Row],[OrderDate]],"DDDD")</f>
        <v>Tuesday</v>
      </c>
      <c r="D302" s="1" t="str">
        <f>TEXT(Sales_Table[[#This Row],[OrderDate]],"MMMM")</f>
        <v>January</v>
      </c>
      <c r="E302" t="s">
        <v>24</v>
      </c>
      <c r="F302" t="s">
        <v>43</v>
      </c>
      <c r="G302">
        <v>3</v>
      </c>
      <c r="H302">
        <v>877.02</v>
      </c>
      <c r="I302" t="str">
        <f>VLOOKUP(Sales_Table[[#This Row],[ProductID]],Product_Table[],2,FALSE)</f>
        <v>Product_5</v>
      </c>
      <c r="J302" t="str">
        <f>VLOOKUP(Sales_Table[[#This Row],[ProductID]],Product_Table[],3,FALSE)</f>
        <v>Sports</v>
      </c>
      <c r="K302">
        <f>_xlfn.XLOOKUP(Sales_Table[[#This Row],[ProductID]],Product_Table[ProductID],Product_Table[UnitPrice],"NULL",0)</f>
        <v>292.33999999999997</v>
      </c>
      <c r="L302" t="str">
        <f>_xlfn.XLOOKUP(Sales_Table[[#This Row],[CustomerID]],Customer_Table[CustomerID],Customer_Table[CustomerName],"NULL",0)</f>
        <v>Customer_97</v>
      </c>
      <c r="M302" t="str">
        <f>INDEX(Customer_Table[Country],MATCH(Sales_Table[[#This Row],[CustomerID]],Customer_Table[CustomerID],0))</f>
        <v>Canada</v>
      </c>
      <c r="N302" t="str">
        <f>INDEX(Customer_Table[Email],MATCH(Sales_Table[[#This Row],[CustomerID]],Customer_Table[CustomerID],0))</f>
        <v>customer97@email.com</v>
      </c>
    </row>
    <row r="303" spans="1:14" x14ac:dyDescent="0.3">
      <c r="A303" t="s">
        <v>468</v>
      </c>
      <c r="B303" s="1">
        <v>45365</v>
      </c>
      <c r="C303" s="1" t="str">
        <f>TEXT(Sales_Table[[#This Row],[OrderDate]],"DDDD")</f>
        <v>Thursday</v>
      </c>
      <c r="D303" s="1" t="str">
        <f>TEXT(Sales_Table[[#This Row],[OrderDate]],"MMMM")</f>
        <v>March</v>
      </c>
      <c r="E303" t="s">
        <v>237</v>
      </c>
      <c r="F303" t="s">
        <v>233</v>
      </c>
      <c r="G303">
        <v>2</v>
      </c>
      <c r="H303">
        <v>927.84</v>
      </c>
      <c r="I303" t="str">
        <f>VLOOKUP(Sales_Table[[#This Row],[ProductID]],Product_Table[],2,FALSE)</f>
        <v>Product_21</v>
      </c>
      <c r="J303" t="str">
        <f>VLOOKUP(Sales_Table[[#This Row],[ProductID]],Product_Table[],3,FALSE)</f>
        <v>Electronics</v>
      </c>
      <c r="K303">
        <f>_xlfn.XLOOKUP(Sales_Table[[#This Row],[ProductID]],Product_Table[ProductID],Product_Table[UnitPrice],"NULL",0)</f>
        <v>463.92</v>
      </c>
      <c r="L303" t="str">
        <f>_xlfn.XLOOKUP(Sales_Table[[#This Row],[CustomerID]],Customer_Table[CustomerID],Customer_Table[CustomerName],"NULL",0)</f>
        <v>Customer_9</v>
      </c>
      <c r="M303" t="str">
        <f>INDEX(Customer_Table[Country],MATCH(Sales_Table[[#This Row],[CustomerID]],Customer_Table[CustomerID],0))</f>
        <v>United Kingdom</v>
      </c>
      <c r="N303" t="str">
        <f>INDEX(Customer_Table[Email],MATCH(Sales_Table[[#This Row],[CustomerID]],Customer_Table[CustomerID],0))</f>
        <v>customer9@email.com</v>
      </c>
    </row>
    <row r="304" spans="1:14" x14ac:dyDescent="0.3">
      <c r="A304" t="s">
        <v>469</v>
      </c>
      <c r="B304" s="1">
        <v>45471</v>
      </c>
      <c r="C304" s="1" t="str">
        <f>TEXT(Sales_Table[[#This Row],[OrderDate]],"DDDD")</f>
        <v>Friday</v>
      </c>
      <c r="D304" s="1" t="str">
        <f>TEXT(Sales_Table[[#This Row],[OrderDate]],"MMMM")</f>
        <v>June</v>
      </c>
      <c r="E304" t="s">
        <v>70</v>
      </c>
      <c r="F304" t="s">
        <v>154</v>
      </c>
      <c r="G304">
        <v>3</v>
      </c>
      <c r="H304">
        <v>998.7</v>
      </c>
      <c r="I304" t="str">
        <f>VLOOKUP(Sales_Table[[#This Row],[ProductID]],Product_Table[],2,FALSE)</f>
        <v>Product_8</v>
      </c>
      <c r="J304" t="str">
        <f>VLOOKUP(Sales_Table[[#This Row],[ProductID]],Product_Table[],3,FALSE)</f>
        <v>Electronics</v>
      </c>
      <c r="K304">
        <f>_xlfn.XLOOKUP(Sales_Table[[#This Row],[ProductID]],Product_Table[ProductID],Product_Table[UnitPrice],"NULL",0)</f>
        <v>332.9</v>
      </c>
      <c r="L304" t="str">
        <f>_xlfn.XLOOKUP(Sales_Table[[#This Row],[CustomerID]],Customer_Table[CustomerID],Customer_Table[CustomerName],"NULL",0)</f>
        <v>Customer_102</v>
      </c>
      <c r="M304" t="str">
        <f>INDEX(Customer_Table[Country],MATCH(Sales_Table[[#This Row],[CustomerID]],Customer_Table[CustomerID],0))</f>
        <v>Canada</v>
      </c>
      <c r="N304" t="str">
        <f>INDEX(Customer_Table[Email],MATCH(Sales_Table[[#This Row],[CustomerID]],Customer_Table[CustomerID],0))</f>
        <v>customer102@email.com</v>
      </c>
    </row>
    <row r="305" spans="1:14" x14ac:dyDescent="0.3">
      <c r="A305" t="s">
        <v>470</v>
      </c>
      <c r="B305" s="1">
        <v>45310</v>
      </c>
      <c r="C305" s="1" t="str">
        <f>TEXT(Sales_Table[[#This Row],[OrderDate]],"DDDD")</f>
        <v>Friday</v>
      </c>
      <c r="D305" s="1" t="str">
        <f>TEXT(Sales_Table[[#This Row],[OrderDate]],"MMMM")</f>
        <v>January</v>
      </c>
      <c r="E305" t="s">
        <v>206</v>
      </c>
      <c r="F305" t="s">
        <v>122</v>
      </c>
      <c r="G305">
        <v>4</v>
      </c>
      <c r="H305">
        <v>908.52</v>
      </c>
      <c r="I305" t="str">
        <f>VLOOKUP(Sales_Table[[#This Row],[ProductID]],Product_Table[],2,FALSE)</f>
        <v>Product_18</v>
      </c>
      <c r="J305" t="str">
        <f>VLOOKUP(Sales_Table[[#This Row],[ProductID]],Product_Table[],3,FALSE)</f>
        <v>Electronics</v>
      </c>
      <c r="K305">
        <f>_xlfn.XLOOKUP(Sales_Table[[#This Row],[ProductID]],Product_Table[ProductID],Product_Table[UnitPrice],"NULL",0)</f>
        <v>227.13</v>
      </c>
      <c r="L305" t="str">
        <f>_xlfn.XLOOKUP(Sales_Table[[#This Row],[CustomerID]],Customer_Table[CustomerID],Customer_Table[CustomerName],"NULL",0)</f>
        <v>Customer_69</v>
      </c>
      <c r="M305" t="str">
        <f>INDEX(Customer_Table[Country],MATCH(Sales_Table[[#This Row],[CustomerID]],Customer_Table[CustomerID],0))</f>
        <v>United Kingdom</v>
      </c>
      <c r="N305" t="str">
        <f>INDEX(Customer_Table[Email],MATCH(Sales_Table[[#This Row],[CustomerID]],Customer_Table[CustomerID],0))</f>
        <v>customer69@email.com</v>
      </c>
    </row>
    <row r="306" spans="1:14" x14ac:dyDescent="0.3">
      <c r="A306" t="s">
        <v>471</v>
      </c>
      <c r="B306" s="1">
        <v>45359</v>
      </c>
      <c r="C306" s="1" t="str">
        <f>TEXT(Sales_Table[[#This Row],[OrderDate]],"DDDD")</f>
        <v>Friday</v>
      </c>
      <c r="D306" s="1" t="str">
        <f>TEXT(Sales_Table[[#This Row],[OrderDate]],"MMMM")</f>
        <v>March</v>
      </c>
      <c r="E306" t="s">
        <v>404</v>
      </c>
      <c r="F306" t="s">
        <v>34</v>
      </c>
      <c r="G306">
        <v>2</v>
      </c>
      <c r="H306">
        <v>299.54000000000002</v>
      </c>
      <c r="I306" t="str">
        <f>VLOOKUP(Sales_Table[[#This Row],[ProductID]],Product_Table[],2,FALSE)</f>
        <v>Product_27</v>
      </c>
      <c r="J306" t="str">
        <f>VLOOKUP(Sales_Table[[#This Row],[ProductID]],Product_Table[],3,FALSE)</f>
        <v>Beauty</v>
      </c>
      <c r="K306">
        <f>_xlfn.XLOOKUP(Sales_Table[[#This Row],[ProductID]],Product_Table[ProductID],Product_Table[UnitPrice],"NULL",0)</f>
        <v>149.77000000000001</v>
      </c>
      <c r="L306" t="str">
        <f>_xlfn.XLOOKUP(Sales_Table[[#This Row],[CustomerID]],Customer_Table[CustomerID],Customer_Table[CustomerName],"NULL",0)</f>
        <v>Customer_95</v>
      </c>
      <c r="M306" t="str">
        <f>INDEX(Customer_Table[Country],MATCH(Sales_Table[[#This Row],[CustomerID]],Customer_Table[CustomerID],0))</f>
        <v>United States</v>
      </c>
      <c r="N306" t="str">
        <f>INDEX(Customer_Table[Email],MATCH(Sales_Table[[#This Row],[CustomerID]],Customer_Table[CustomerID],0))</f>
        <v>customer95@email.com</v>
      </c>
    </row>
    <row r="307" spans="1:14" x14ac:dyDescent="0.3">
      <c r="A307" t="s">
        <v>472</v>
      </c>
      <c r="B307" s="1">
        <v>45461</v>
      </c>
      <c r="C307" s="1" t="str">
        <f>TEXT(Sales_Table[[#This Row],[OrderDate]],"DDDD")</f>
        <v>Tuesday</v>
      </c>
      <c r="D307" s="1" t="str">
        <f>TEXT(Sales_Table[[#This Row],[OrderDate]],"MMMM")</f>
        <v>June</v>
      </c>
      <c r="E307" t="s">
        <v>450</v>
      </c>
      <c r="F307" t="s">
        <v>68</v>
      </c>
      <c r="G307">
        <v>5</v>
      </c>
      <c r="H307">
        <v>457.45</v>
      </c>
      <c r="I307" t="str">
        <f>VLOOKUP(Sales_Table[[#This Row],[ProductID]],Product_Table[],2,FALSE)</f>
        <v>Product_22</v>
      </c>
      <c r="J307" t="str">
        <f>VLOOKUP(Sales_Table[[#This Row],[ProductID]],Product_Table[],3,FALSE)</f>
        <v>Clothing</v>
      </c>
      <c r="K307">
        <f>_xlfn.XLOOKUP(Sales_Table[[#This Row],[ProductID]],Product_Table[ProductID],Product_Table[UnitPrice],"NULL",0)</f>
        <v>91.49</v>
      </c>
      <c r="L307" t="str">
        <f>_xlfn.XLOOKUP(Sales_Table[[#This Row],[CustomerID]],Customer_Table[CustomerID],Customer_Table[CustomerName],"NULL",0)</f>
        <v>Customer_17</v>
      </c>
      <c r="M307" t="str">
        <f>INDEX(Customer_Table[Country],MATCH(Sales_Table[[#This Row],[CustomerID]],Customer_Table[CustomerID],0))</f>
        <v>United Kingdom</v>
      </c>
      <c r="N307" t="str">
        <f>INDEX(Customer_Table[Email],MATCH(Sales_Table[[#This Row],[CustomerID]],Customer_Table[CustomerID],0))</f>
        <v>customer17@email.com</v>
      </c>
    </row>
    <row r="308" spans="1:14" x14ac:dyDescent="0.3">
      <c r="A308" t="s">
        <v>473</v>
      </c>
      <c r="B308" s="1">
        <v>45400</v>
      </c>
      <c r="C308" s="1" t="str">
        <f>TEXT(Sales_Table[[#This Row],[OrderDate]],"DDDD")</f>
        <v>Thursday</v>
      </c>
      <c r="D308" s="1" t="str">
        <f>TEXT(Sales_Table[[#This Row],[OrderDate]],"MMMM")</f>
        <v>April</v>
      </c>
      <c r="E308" t="s">
        <v>158</v>
      </c>
      <c r="F308" t="s">
        <v>156</v>
      </c>
      <c r="G308">
        <v>2</v>
      </c>
      <c r="H308">
        <v>679.9</v>
      </c>
      <c r="I308" t="str">
        <f>VLOOKUP(Sales_Table[[#This Row],[ProductID]],Product_Table[],2,FALSE)</f>
        <v>Product_11</v>
      </c>
      <c r="J308" t="str">
        <f>VLOOKUP(Sales_Table[[#This Row],[ProductID]],Product_Table[],3,FALSE)</f>
        <v>Electronics</v>
      </c>
      <c r="K308">
        <f>_xlfn.XLOOKUP(Sales_Table[[#This Row],[ProductID]],Product_Table[ProductID],Product_Table[UnitPrice],"NULL",0)</f>
        <v>339.95</v>
      </c>
      <c r="L308" t="str">
        <f>_xlfn.XLOOKUP(Sales_Table[[#This Row],[CustomerID]],Customer_Table[CustomerID],Customer_Table[CustomerName],"NULL",0)</f>
        <v>Customer_12</v>
      </c>
      <c r="M308" t="str">
        <f>INDEX(Customer_Table[Country],MATCH(Sales_Table[[#This Row],[CustomerID]],Customer_Table[CustomerID],0))</f>
        <v>United Kingdom</v>
      </c>
      <c r="N308" t="str">
        <f>INDEX(Customer_Table[Email],MATCH(Sales_Table[[#This Row],[CustomerID]],Customer_Table[CustomerID],0))</f>
        <v>customer12@email.com</v>
      </c>
    </row>
    <row r="309" spans="1:14" x14ac:dyDescent="0.3">
      <c r="A309" t="s">
        <v>474</v>
      </c>
      <c r="B309" s="1">
        <v>45431</v>
      </c>
      <c r="C309" s="1" t="str">
        <f>TEXT(Sales_Table[[#This Row],[OrderDate]],"DDDD")</f>
        <v>Sunday</v>
      </c>
      <c r="D309" s="1" t="str">
        <f>TEXT(Sales_Table[[#This Row],[OrderDate]],"MMMM")</f>
        <v>May</v>
      </c>
      <c r="E309" t="s">
        <v>475</v>
      </c>
      <c r="F309" t="s">
        <v>233</v>
      </c>
      <c r="G309">
        <v>1</v>
      </c>
      <c r="H309">
        <v>463.92</v>
      </c>
      <c r="I309" t="str">
        <f>VLOOKUP(Sales_Table[[#This Row],[ProductID]],Product_Table[],2,FALSE)</f>
        <v>Product_21</v>
      </c>
      <c r="J309" t="str">
        <f>VLOOKUP(Sales_Table[[#This Row],[ProductID]],Product_Table[],3,FALSE)</f>
        <v>Electronics</v>
      </c>
      <c r="K309">
        <f>_xlfn.XLOOKUP(Sales_Table[[#This Row],[ProductID]],Product_Table[ProductID],Product_Table[UnitPrice],"NULL",0)</f>
        <v>463.92</v>
      </c>
      <c r="L309" t="str">
        <f>_xlfn.XLOOKUP(Sales_Table[[#This Row],[CustomerID]],Customer_Table[CustomerID],Customer_Table[CustomerName],"NULL",0)</f>
        <v>Customer_13</v>
      </c>
      <c r="M309" t="str">
        <f>INDEX(Customer_Table[Country],MATCH(Sales_Table[[#This Row],[CustomerID]],Customer_Table[CustomerID],0))</f>
        <v>India</v>
      </c>
      <c r="N309" t="str">
        <f>INDEX(Customer_Table[Email],MATCH(Sales_Table[[#This Row],[CustomerID]],Customer_Table[CustomerID],0))</f>
        <v>customer13@email.com</v>
      </c>
    </row>
    <row r="310" spans="1:14" x14ac:dyDescent="0.3">
      <c r="A310" t="s">
        <v>476</v>
      </c>
      <c r="B310" s="1">
        <v>45457</v>
      </c>
      <c r="C310" s="1" t="str">
        <f>TEXT(Sales_Table[[#This Row],[OrderDate]],"DDDD")</f>
        <v>Friday</v>
      </c>
      <c r="D310" s="1" t="str">
        <f>TEXT(Sales_Table[[#This Row],[OrderDate]],"MMMM")</f>
        <v>June</v>
      </c>
      <c r="E310" t="s">
        <v>75</v>
      </c>
      <c r="F310" t="s">
        <v>122</v>
      </c>
      <c r="G310">
        <v>2</v>
      </c>
      <c r="H310">
        <v>454.26</v>
      </c>
      <c r="I310" t="str">
        <f>VLOOKUP(Sales_Table[[#This Row],[ProductID]],Product_Table[],2,FALSE)</f>
        <v>Product_18</v>
      </c>
      <c r="J310" t="str">
        <f>VLOOKUP(Sales_Table[[#This Row],[ProductID]],Product_Table[],3,FALSE)</f>
        <v>Electronics</v>
      </c>
      <c r="K310">
        <f>_xlfn.XLOOKUP(Sales_Table[[#This Row],[ProductID]],Product_Table[ProductID],Product_Table[UnitPrice],"NULL",0)</f>
        <v>227.13</v>
      </c>
      <c r="L310" t="str">
        <f>_xlfn.XLOOKUP(Sales_Table[[#This Row],[CustomerID]],Customer_Table[CustomerID],Customer_Table[CustomerName],"NULL",0)</f>
        <v>Customer_104</v>
      </c>
      <c r="M310" t="str">
        <f>INDEX(Customer_Table[Country],MATCH(Sales_Table[[#This Row],[CustomerID]],Customer_Table[CustomerID],0))</f>
        <v>Canada</v>
      </c>
      <c r="N310" t="str">
        <f>INDEX(Customer_Table[Email],MATCH(Sales_Table[[#This Row],[CustomerID]],Customer_Table[CustomerID],0))</f>
        <v>customer104@email.com</v>
      </c>
    </row>
    <row r="311" spans="1:14" x14ac:dyDescent="0.3">
      <c r="A311" t="s">
        <v>477</v>
      </c>
      <c r="B311" s="1">
        <v>45360</v>
      </c>
      <c r="C311" s="1" t="str">
        <f>TEXT(Sales_Table[[#This Row],[OrderDate]],"DDDD")</f>
        <v>Saturday</v>
      </c>
      <c r="D311" s="1" t="str">
        <f>TEXT(Sales_Table[[#This Row],[OrderDate]],"MMMM")</f>
        <v>March</v>
      </c>
      <c r="E311" t="s">
        <v>70</v>
      </c>
      <c r="F311" t="s">
        <v>80</v>
      </c>
      <c r="G311">
        <v>2</v>
      </c>
      <c r="H311">
        <v>433.44</v>
      </c>
      <c r="I311" t="str">
        <f>VLOOKUP(Sales_Table[[#This Row],[ProductID]],Product_Table[],2,FALSE)</f>
        <v>Product_16</v>
      </c>
      <c r="J311" t="str">
        <f>VLOOKUP(Sales_Table[[#This Row],[ProductID]],Product_Table[],3,FALSE)</f>
        <v>Clothing</v>
      </c>
      <c r="K311">
        <f>_xlfn.XLOOKUP(Sales_Table[[#This Row],[ProductID]],Product_Table[ProductID],Product_Table[UnitPrice],"NULL",0)</f>
        <v>216.72</v>
      </c>
      <c r="L311" t="str">
        <f>_xlfn.XLOOKUP(Sales_Table[[#This Row],[CustomerID]],Customer_Table[CustomerID],Customer_Table[CustomerName],"NULL",0)</f>
        <v>Customer_102</v>
      </c>
      <c r="M311" t="str">
        <f>INDEX(Customer_Table[Country],MATCH(Sales_Table[[#This Row],[CustomerID]],Customer_Table[CustomerID],0))</f>
        <v>Canada</v>
      </c>
      <c r="N311" t="str">
        <f>INDEX(Customer_Table[Email],MATCH(Sales_Table[[#This Row],[CustomerID]],Customer_Table[CustomerID],0))</f>
        <v>customer102@email.com</v>
      </c>
    </row>
    <row r="312" spans="1:14" x14ac:dyDescent="0.3">
      <c r="A312" t="s">
        <v>478</v>
      </c>
      <c r="B312" s="1">
        <v>45310</v>
      </c>
      <c r="C312" s="1" t="str">
        <f>TEXT(Sales_Table[[#This Row],[OrderDate]],"DDDD")</f>
        <v>Friday</v>
      </c>
      <c r="D312" s="1" t="str">
        <f>TEXT(Sales_Table[[#This Row],[OrderDate]],"MMMM")</f>
        <v>January</v>
      </c>
      <c r="E312" t="s">
        <v>217</v>
      </c>
      <c r="F312" t="s">
        <v>122</v>
      </c>
      <c r="G312">
        <v>2</v>
      </c>
      <c r="H312">
        <v>454.26</v>
      </c>
      <c r="I312" t="str">
        <f>VLOOKUP(Sales_Table[[#This Row],[ProductID]],Product_Table[],2,FALSE)</f>
        <v>Product_18</v>
      </c>
      <c r="J312" t="str">
        <f>VLOOKUP(Sales_Table[[#This Row],[ProductID]],Product_Table[],3,FALSE)</f>
        <v>Electronics</v>
      </c>
      <c r="K312">
        <f>_xlfn.XLOOKUP(Sales_Table[[#This Row],[ProductID]],Product_Table[ProductID],Product_Table[UnitPrice],"NULL",0)</f>
        <v>227.13</v>
      </c>
      <c r="L312" t="str">
        <f>_xlfn.XLOOKUP(Sales_Table[[#This Row],[CustomerID]],Customer_Table[CustomerID],Customer_Table[CustomerName],"NULL",0)</f>
        <v>Customer_63</v>
      </c>
      <c r="M312" t="str">
        <f>INDEX(Customer_Table[Country],MATCH(Sales_Table[[#This Row],[CustomerID]],Customer_Table[CustomerID],0))</f>
        <v>India</v>
      </c>
      <c r="N312" t="str">
        <f>INDEX(Customer_Table[Email],MATCH(Sales_Table[[#This Row],[CustomerID]],Customer_Table[CustomerID],0))</f>
        <v>customer63@email.com</v>
      </c>
    </row>
    <row r="313" spans="1:14" x14ac:dyDescent="0.3">
      <c r="A313" t="s">
        <v>479</v>
      </c>
      <c r="B313" s="1">
        <v>45334</v>
      </c>
      <c r="C313" s="1" t="str">
        <f>TEXT(Sales_Table[[#This Row],[OrderDate]],"DDDD")</f>
        <v>Monday</v>
      </c>
      <c r="D313" s="1" t="str">
        <f>TEXT(Sales_Table[[#This Row],[OrderDate]],"MMMM")</f>
        <v>February</v>
      </c>
      <c r="E313" t="s">
        <v>404</v>
      </c>
      <c r="F313" t="s">
        <v>68</v>
      </c>
      <c r="G313">
        <v>1</v>
      </c>
      <c r="H313">
        <v>91.49</v>
      </c>
      <c r="I313" t="str">
        <f>VLOOKUP(Sales_Table[[#This Row],[ProductID]],Product_Table[],2,FALSE)</f>
        <v>Product_22</v>
      </c>
      <c r="J313" t="str">
        <f>VLOOKUP(Sales_Table[[#This Row],[ProductID]],Product_Table[],3,FALSE)</f>
        <v>Clothing</v>
      </c>
      <c r="K313">
        <f>_xlfn.XLOOKUP(Sales_Table[[#This Row],[ProductID]],Product_Table[ProductID],Product_Table[UnitPrice],"NULL",0)</f>
        <v>91.49</v>
      </c>
      <c r="L313" t="str">
        <f>_xlfn.XLOOKUP(Sales_Table[[#This Row],[CustomerID]],Customer_Table[CustomerID],Customer_Table[CustomerName],"NULL",0)</f>
        <v>Customer_95</v>
      </c>
      <c r="M313" t="str">
        <f>INDEX(Customer_Table[Country],MATCH(Sales_Table[[#This Row],[CustomerID]],Customer_Table[CustomerID],0))</f>
        <v>United States</v>
      </c>
      <c r="N313" t="str">
        <f>INDEX(Customer_Table[Email],MATCH(Sales_Table[[#This Row],[CustomerID]],Customer_Table[CustomerID],0))</f>
        <v>customer95@email.com</v>
      </c>
    </row>
    <row r="314" spans="1:14" x14ac:dyDescent="0.3">
      <c r="A314" t="s">
        <v>480</v>
      </c>
      <c r="B314" s="1">
        <v>45444</v>
      </c>
      <c r="C314" s="1" t="str">
        <f>TEXT(Sales_Table[[#This Row],[OrderDate]],"DDDD")</f>
        <v>Saturday</v>
      </c>
      <c r="D314" s="1" t="str">
        <f>TEXT(Sales_Table[[#This Row],[OrderDate]],"MMMM")</f>
        <v>June</v>
      </c>
      <c r="E314" t="s">
        <v>255</v>
      </c>
      <c r="F314" t="s">
        <v>168</v>
      </c>
      <c r="G314">
        <v>3</v>
      </c>
      <c r="H314">
        <v>130.74</v>
      </c>
      <c r="I314" t="str">
        <f>VLOOKUP(Sales_Table[[#This Row],[ProductID]],Product_Table[],2,FALSE)</f>
        <v>Product_37</v>
      </c>
      <c r="J314" t="str">
        <f>VLOOKUP(Sales_Table[[#This Row],[ProductID]],Product_Table[],3,FALSE)</f>
        <v>Clothing</v>
      </c>
      <c r="K314">
        <f>_xlfn.XLOOKUP(Sales_Table[[#This Row],[ProductID]],Product_Table[ProductID],Product_Table[UnitPrice],"NULL",0)</f>
        <v>43.58</v>
      </c>
      <c r="L314" t="str">
        <f>_xlfn.XLOOKUP(Sales_Table[[#This Row],[CustomerID]],Customer_Table[CustomerID],Customer_Table[CustomerName],"NULL",0)</f>
        <v>Customer_114</v>
      </c>
      <c r="M314" t="str">
        <f>INDEX(Customer_Table[Country],MATCH(Sales_Table[[#This Row],[CustomerID]],Customer_Table[CustomerID],0))</f>
        <v>United States</v>
      </c>
      <c r="N314" t="str">
        <f>INDEX(Customer_Table[Email],MATCH(Sales_Table[[#This Row],[CustomerID]],Customer_Table[CustomerID],0))</f>
        <v>customer114@email.com</v>
      </c>
    </row>
    <row r="315" spans="1:14" x14ac:dyDescent="0.3">
      <c r="A315" t="s">
        <v>481</v>
      </c>
      <c r="B315" s="1">
        <v>45365</v>
      </c>
      <c r="C315" s="1" t="str">
        <f>TEXT(Sales_Table[[#This Row],[OrderDate]],"DDDD")</f>
        <v>Thursday</v>
      </c>
      <c r="D315" s="1" t="str">
        <f>TEXT(Sales_Table[[#This Row],[OrderDate]],"MMMM")</f>
        <v>March</v>
      </c>
      <c r="E315" t="s">
        <v>134</v>
      </c>
      <c r="F315" t="s">
        <v>140</v>
      </c>
      <c r="G315">
        <v>5</v>
      </c>
      <c r="H315">
        <v>1689</v>
      </c>
      <c r="I315" t="str">
        <f>VLOOKUP(Sales_Table[[#This Row],[ProductID]],Product_Table[],2,FALSE)</f>
        <v>Product_3</v>
      </c>
      <c r="J315" t="str">
        <f>VLOOKUP(Sales_Table[[#This Row],[ProductID]],Product_Table[],3,FALSE)</f>
        <v>Home</v>
      </c>
      <c r="K315">
        <f>_xlfn.XLOOKUP(Sales_Table[[#This Row],[ProductID]],Product_Table[ProductID],Product_Table[UnitPrice],"NULL",0)</f>
        <v>337.8</v>
      </c>
      <c r="L315" t="str">
        <f>_xlfn.XLOOKUP(Sales_Table[[#This Row],[CustomerID]],Customer_Table[CustomerID],Customer_Table[CustomerName],"NULL",0)</f>
        <v>Customer_42</v>
      </c>
      <c r="M315" t="str">
        <f>INDEX(Customer_Table[Country],MATCH(Sales_Table[[#This Row],[CustomerID]],Customer_Table[CustomerID],0))</f>
        <v>India</v>
      </c>
      <c r="N315" t="str">
        <f>INDEX(Customer_Table[Email],MATCH(Sales_Table[[#This Row],[CustomerID]],Customer_Table[CustomerID],0))</f>
        <v>customer42@email.com</v>
      </c>
    </row>
    <row r="316" spans="1:14" x14ac:dyDescent="0.3">
      <c r="A316" t="s">
        <v>482</v>
      </c>
      <c r="B316" s="1">
        <v>45323</v>
      </c>
      <c r="C316" s="1" t="str">
        <f>TEXT(Sales_Table[[#This Row],[OrderDate]],"DDDD")</f>
        <v>Thursday</v>
      </c>
      <c r="D316" s="1" t="str">
        <f>TEXT(Sales_Table[[#This Row],[OrderDate]],"MMMM")</f>
        <v>February</v>
      </c>
      <c r="E316" t="s">
        <v>48</v>
      </c>
      <c r="F316" t="s">
        <v>16</v>
      </c>
      <c r="G316">
        <v>4</v>
      </c>
      <c r="H316">
        <v>1678.6</v>
      </c>
      <c r="I316" t="str">
        <f>VLOOKUP(Sales_Table[[#This Row],[ProductID]],Product_Table[],2,FALSE)</f>
        <v>Product_20</v>
      </c>
      <c r="J316" t="str">
        <f>VLOOKUP(Sales_Table[[#This Row],[ProductID]],Product_Table[],3,FALSE)</f>
        <v>Sports</v>
      </c>
      <c r="K316">
        <f>_xlfn.XLOOKUP(Sales_Table[[#This Row],[ProductID]],Product_Table[ProductID],Product_Table[UnitPrice],"NULL",0)</f>
        <v>419.65</v>
      </c>
      <c r="L316" t="str">
        <f>_xlfn.XLOOKUP(Sales_Table[[#This Row],[CustomerID]],Customer_Table[CustomerID],Customer_Table[CustomerName],"NULL",0)</f>
        <v>Customer_25</v>
      </c>
      <c r="M316" t="str">
        <f>INDEX(Customer_Table[Country],MATCH(Sales_Table[[#This Row],[CustomerID]],Customer_Table[CustomerID],0))</f>
        <v>United Kingdom</v>
      </c>
      <c r="N316" t="str">
        <f>INDEX(Customer_Table[Email],MATCH(Sales_Table[[#This Row],[CustomerID]],Customer_Table[CustomerID],0))</f>
        <v>customer25@email.com</v>
      </c>
    </row>
    <row r="317" spans="1:14" x14ac:dyDescent="0.3">
      <c r="A317" t="s">
        <v>483</v>
      </c>
      <c r="B317" s="1">
        <v>45468</v>
      </c>
      <c r="C317" s="1" t="str">
        <f>TEXT(Sales_Table[[#This Row],[OrderDate]],"DDDD")</f>
        <v>Tuesday</v>
      </c>
      <c r="D317" s="1" t="str">
        <f>TEXT(Sales_Table[[#This Row],[OrderDate]],"MMMM")</f>
        <v>June</v>
      </c>
      <c r="E317" t="s">
        <v>45</v>
      </c>
      <c r="F317" t="s">
        <v>49</v>
      </c>
      <c r="G317">
        <v>4</v>
      </c>
      <c r="H317">
        <v>152.04</v>
      </c>
      <c r="I317" t="str">
        <f>VLOOKUP(Sales_Table[[#This Row],[ProductID]],Product_Table[],2,FALSE)</f>
        <v>Product_33</v>
      </c>
      <c r="J317" t="str">
        <f>VLOOKUP(Sales_Table[[#This Row],[ProductID]],Product_Table[],3,FALSE)</f>
        <v>Home</v>
      </c>
      <c r="K317">
        <f>_xlfn.XLOOKUP(Sales_Table[[#This Row],[ProductID]],Product_Table[ProductID],Product_Table[UnitPrice],"NULL",0)</f>
        <v>38.01</v>
      </c>
      <c r="L317" t="str">
        <f>_xlfn.XLOOKUP(Sales_Table[[#This Row],[CustomerID]],Customer_Table[CustomerID],Customer_Table[CustomerName],"NULL",0)</f>
        <v>Customer_110</v>
      </c>
      <c r="M317" t="str">
        <f>INDEX(Customer_Table[Country],MATCH(Sales_Table[[#This Row],[CustomerID]],Customer_Table[CustomerID],0))</f>
        <v>United States</v>
      </c>
      <c r="N317" t="str">
        <f>INDEX(Customer_Table[Email],MATCH(Sales_Table[[#This Row],[CustomerID]],Customer_Table[CustomerID],0))</f>
        <v>customer110@email.com</v>
      </c>
    </row>
    <row r="318" spans="1:14" x14ac:dyDescent="0.3">
      <c r="A318" t="s">
        <v>484</v>
      </c>
      <c r="B318" s="1">
        <v>45471</v>
      </c>
      <c r="C318" s="1" t="str">
        <f>TEXT(Sales_Table[[#This Row],[OrderDate]],"DDDD")</f>
        <v>Friday</v>
      </c>
      <c r="D318" s="1" t="str">
        <f>TEXT(Sales_Table[[#This Row],[OrderDate]],"MMMM")</f>
        <v>June</v>
      </c>
      <c r="E318" t="s">
        <v>147</v>
      </c>
      <c r="F318" t="s">
        <v>31</v>
      </c>
      <c r="G318">
        <v>3</v>
      </c>
      <c r="H318">
        <v>309.89999999999998</v>
      </c>
      <c r="I318" t="str">
        <f>VLOOKUP(Sales_Table[[#This Row],[ProductID]],Product_Table[],2,FALSE)</f>
        <v>Product_7</v>
      </c>
      <c r="J318" t="str">
        <f>VLOOKUP(Sales_Table[[#This Row],[ProductID]],Product_Table[],3,FALSE)</f>
        <v>Beauty</v>
      </c>
      <c r="K318">
        <f>_xlfn.XLOOKUP(Sales_Table[[#This Row],[ProductID]],Product_Table[ProductID],Product_Table[UnitPrice],"NULL",0)</f>
        <v>103.3</v>
      </c>
      <c r="L318" t="str">
        <f>_xlfn.XLOOKUP(Sales_Table[[#This Row],[CustomerID]],Customer_Table[CustomerID],Customer_Table[CustomerName],"NULL",0)</f>
        <v>Customer_30</v>
      </c>
      <c r="M318" t="str">
        <f>INDEX(Customer_Table[Country],MATCH(Sales_Table[[#This Row],[CustomerID]],Customer_Table[CustomerID],0))</f>
        <v>United States</v>
      </c>
      <c r="N318" t="str">
        <f>INDEX(Customer_Table[Email],MATCH(Sales_Table[[#This Row],[CustomerID]],Customer_Table[CustomerID],0))</f>
        <v>customer30@email.com</v>
      </c>
    </row>
    <row r="319" spans="1:14" x14ac:dyDescent="0.3">
      <c r="A319" t="s">
        <v>485</v>
      </c>
      <c r="B319" s="1">
        <v>45361</v>
      </c>
      <c r="C319" s="1" t="str">
        <f>TEXT(Sales_Table[[#This Row],[OrderDate]],"DDDD")</f>
        <v>Sunday</v>
      </c>
      <c r="D319" s="1" t="str">
        <f>TEXT(Sales_Table[[#This Row],[OrderDate]],"MMMM")</f>
        <v>March</v>
      </c>
      <c r="E319" t="s">
        <v>65</v>
      </c>
      <c r="F319" t="s">
        <v>132</v>
      </c>
      <c r="G319">
        <v>4</v>
      </c>
      <c r="H319">
        <v>158.80000000000001</v>
      </c>
      <c r="I319" t="str">
        <f>VLOOKUP(Sales_Table[[#This Row],[ProductID]],Product_Table[],2,FALSE)</f>
        <v>Product_12</v>
      </c>
      <c r="J319" t="str">
        <f>VLOOKUP(Sales_Table[[#This Row],[ProductID]],Product_Table[],3,FALSE)</f>
        <v>Electronics</v>
      </c>
      <c r="K319">
        <f>_xlfn.XLOOKUP(Sales_Table[[#This Row],[ProductID]],Product_Table[ProductID],Product_Table[UnitPrice],"NULL",0)</f>
        <v>39.700000000000003</v>
      </c>
      <c r="L319" t="str">
        <f>_xlfn.XLOOKUP(Sales_Table[[#This Row],[CustomerID]],Customer_Table[CustomerID],Customer_Table[CustomerName],"NULL",0)</f>
        <v>Customer_83</v>
      </c>
      <c r="M319" t="str">
        <f>INDEX(Customer_Table[Country],MATCH(Sales_Table[[#This Row],[CustomerID]],Customer_Table[CustomerID],0))</f>
        <v>United Kingdom</v>
      </c>
      <c r="N319" t="str">
        <f>INDEX(Customer_Table[Email],MATCH(Sales_Table[[#This Row],[CustomerID]],Customer_Table[CustomerID],0))</f>
        <v>customer83@email.com</v>
      </c>
    </row>
    <row r="320" spans="1:14" x14ac:dyDescent="0.3">
      <c r="A320" t="s">
        <v>486</v>
      </c>
      <c r="B320" s="1">
        <v>45430</v>
      </c>
      <c r="C320" s="1" t="str">
        <f>TEXT(Sales_Table[[#This Row],[OrderDate]],"DDDD")</f>
        <v>Saturday</v>
      </c>
      <c r="D320" s="1" t="str">
        <f>TEXT(Sales_Table[[#This Row],[OrderDate]],"MMMM")</f>
        <v>May</v>
      </c>
      <c r="E320" t="s">
        <v>42</v>
      </c>
      <c r="F320" t="s">
        <v>268</v>
      </c>
      <c r="G320">
        <v>5</v>
      </c>
      <c r="H320">
        <v>978.5</v>
      </c>
      <c r="I320" t="str">
        <f>VLOOKUP(Sales_Table[[#This Row],[ProductID]],Product_Table[],2,FALSE)</f>
        <v>Product_25</v>
      </c>
      <c r="J320" t="str">
        <f>VLOOKUP(Sales_Table[[#This Row],[ProductID]],Product_Table[],3,FALSE)</f>
        <v>Clothing</v>
      </c>
      <c r="K320">
        <f>_xlfn.XLOOKUP(Sales_Table[[#This Row],[ProductID]],Product_Table[ProductID],Product_Table[UnitPrice],"NULL",0)</f>
        <v>195.7</v>
      </c>
      <c r="L320" t="str">
        <f>_xlfn.XLOOKUP(Sales_Table[[#This Row],[CustomerID]],Customer_Table[CustomerID],Customer_Table[CustomerName],"NULL",0)</f>
        <v>Customer_41</v>
      </c>
      <c r="M320" t="str">
        <f>INDEX(Customer_Table[Country],MATCH(Sales_Table[[#This Row],[CustomerID]],Customer_Table[CustomerID],0))</f>
        <v>United States</v>
      </c>
      <c r="N320" t="str">
        <f>INDEX(Customer_Table[Email],MATCH(Sales_Table[[#This Row],[CustomerID]],Customer_Table[CustomerID],0))</f>
        <v>customer41@email.com</v>
      </c>
    </row>
    <row r="321" spans="1:14" x14ac:dyDescent="0.3">
      <c r="A321" t="s">
        <v>487</v>
      </c>
      <c r="B321" s="1">
        <v>45404</v>
      </c>
      <c r="C321" s="1" t="str">
        <f>TEXT(Sales_Table[[#This Row],[OrderDate]],"DDDD")</f>
        <v>Monday</v>
      </c>
      <c r="D321" s="1" t="str">
        <f>TEXT(Sales_Table[[#This Row],[OrderDate]],"MMMM")</f>
        <v>April</v>
      </c>
      <c r="E321" t="s">
        <v>113</v>
      </c>
      <c r="F321" t="s">
        <v>204</v>
      </c>
      <c r="G321">
        <v>4</v>
      </c>
      <c r="H321">
        <v>983.48</v>
      </c>
      <c r="I321" t="str">
        <f>VLOOKUP(Sales_Table[[#This Row],[ProductID]],Product_Table[],2,FALSE)</f>
        <v>Product_23</v>
      </c>
      <c r="J321" t="str">
        <f>VLOOKUP(Sales_Table[[#This Row],[ProductID]],Product_Table[],3,FALSE)</f>
        <v>Beauty</v>
      </c>
      <c r="K321">
        <f>_xlfn.XLOOKUP(Sales_Table[[#This Row],[ProductID]],Product_Table[ProductID],Product_Table[UnitPrice],"NULL",0)</f>
        <v>245.87</v>
      </c>
      <c r="L321" t="str">
        <f>_xlfn.XLOOKUP(Sales_Table[[#This Row],[CustomerID]],Customer_Table[CustomerID],Customer_Table[CustomerName],"NULL",0)</f>
        <v>Customer_100</v>
      </c>
      <c r="M321" t="str">
        <f>INDEX(Customer_Table[Country],MATCH(Sales_Table[[#This Row],[CustomerID]],Customer_Table[CustomerID],0))</f>
        <v>United Kingdom</v>
      </c>
      <c r="N321" t="str">
        <f>INDEX(Customer_Table[Email],MATCH(Sales_Table[[#This Row],[CustomerID]],Customer_Table[CustomerID],0))</f>
        <v>customer100@email.com</v>
      </c>
    </row>
    <row r="322" spans="1:14" x14ac:dyDescent="0.3">
      <c r="A322" t="s">
        <v>488</v>
      </c>
      <c r="B322" s="1">
        <v>45445</v>
      </c>
      <c r="C322" s="1" t="str">
        <f>TEXT(Sales_Table[[#This Row],[OrderDate]],"DDDD")</f>
        <v>Sunday</v>
      </c>
      <c r="D322" s="1" t="str">
        <f>TEXT(Sales_Table[[#This Row],[OrderDate]],"MMMM")</f>
        <v>June</v>
      </c>
      <c r="E322" t="s">
        <v>297</v>
      </c>
      <c r="F322" t="s">
        <v>60</v>
      </c>
      <c r="G322">
        <v>1</v>
      </c>
      <c r="H322">
        <v>85.85</v>
      </c>
      <c r="I322" t="str">
        <f>VLOOKUP(Sales_Table[[#This Row],[ProductID]],Product_Table[],2,FALSE)</f>
        <v>Product_29</v>
      </c>
      <c r="J322" t="str">
        <f>VLOOKUP(Sales_Table[[#This Row],[ProductID]],Product_Table[],3,FALSE)</f>
        <v>Beauty</v>
      </c>
      <c r="K322">
        <f>_xlfn.XLOOKUP(Sales_Table[[#This Row],[ProductID]],Product_Table[ProductID],Product_Table[UnitPrice],"NULL",0)</f>
        <v>85.85</v>
      </c>
      <c r="L322" t="str">
        <f>_xlfn.XLOOKUP(Sales_Table[[#This Row],[CustomerID]],Customer_Table[CustomerID],Customer_Table[CustomerName],"NULL",0)</f>
        <v>Customer_72</v>
      </c>
      <c r="M322" t="str">
        <f>INDEX(Customer_Table[Country],MATCH(Sales_Table[[#This Row],[CustomerID]],Customer_Table[CustomerID],0))</f>
        <v>Canada</v>
      </c>
      <c r="N322" t="str">
        <f>INDEX(Customer_Table[Email],MATCH(Sales_Table[[#This Row],[CustomerID]],Customer_Table[CustomerID],0))</f>
        <v>customer72@email.com</v>
      </c>
    </row>
    <row r="323" spans="1:14" x14ac:dyDescent="0.3">
      <c r="A323" t="s">
        <v>489</v>
      </c>
      <c r="B323" s="1">
        <v>45402</v>
      </c>
      <c r="C323" s="1" t="str">
        <f>TEXT(Sales_Table[[#This Row],[OrderDate]],"DDDD")</f>
        <v>Saturday</v>
      </c>
      <c r="D323" s="1" t="str">
        <f>TEXT(Sales_Table[[#This Row],[OrderDate]],"MMMM")</f>
        <v>April</v>
      </c>
      <c r="E323" t="s">
        <v>45</v>
      </c>
      <c r="F323" t="s">
        <v>186</v>
      </c>
      <c r="G323">
        <v>1</v>
      </c>
      <c r="H323">
        <v>217.55</v>
      </c>
      <c r="I323" t="str">
        <f>VLOOKUP(Sales_Table[[#This Row],[ProductID]],Product_Table[],2,FALSE)</f>
        <v>Product_9</v>
      </c>
      <c r="J323" t="str">
        <f>VLOOKUP(Sales_Table[[#This Row],[ProductID]],Product_Table[],3,FALSE)</f>
        <v>Home</v>
      </c>
      <c r="K323">
        <f>_xlfn.XLOOKUP(Sales_Table[[#This Row],[ProductID]],Product_Table[ProductID],Product_Table[UnitPrice],"NULL",0)</f>
        <v>217.55</v>
      </c>
      <c r="L323" t="str">
        <f>_xlfn.XLOOKUP(Sales_Table[[#This Row],[CustomerID]],Customer_Table[CustomerID],Customer_Table[CustomerName],"NULL",0)</f>
        <v>Customer_110</v>
      </c>
      <c r="M323" t="str">
        <f>INDEX(Customer_Table[Country],MATCH(Sales_Table[[#This Row],[CustomerID]],Customer_Table[CustomerID],0))</f>
        <v>United States</v>
      </c>
      <c r="N323" t="str">
        <f>INDEX(Customer_Table[Email],MATCH(Sales_Table[[#This Row],[CustomerID]],Customer_Table[CustomerID],0))</f>
        <v>customer110@email.com</v>
      </c>
    </row>
    <row r="324" spans="1:14" x14ac:dyDescent="0.3">
      <c r="A324" t="s">
        <v>490</v>
      </c>
      <c r="B324" s="1">
        <v>45446</v>
      </c>
      <c r="C324" s="1" t="str">
        <f>TEXT(Sales_Table[[#This Row],[OrderDate]],"DDDD")</f>
        <v>Monday</v>
      </c>
      <c r="D324" s="1" t="str">
        <f>TEXT(Sales_Table[[#This Row],[OrderDate]],"MMMM")</f>
        <v>June</v>
      </c>
      <c r="E324" t="s">
        <v>167</v>
      </c>
      <c r="F324" t="s">
        <v>76</v>
      </c>
      <c r="G324">
        <v>3</v>
      </c>
      <c r="H324">
        <v>1206.8699999999999</v>
      </c>
      <c r="I324" t="str">
        <f>VLOOKUP(Sales_Table[[#This Row],[ProductID]],Product_Table[],2,FALSE)</f>
        <v>Product_13</v>
      </c>
      <c r="J324" t="str">
        <f>VLOOKUP(Sales_Table[[#This Row],[ProductID]],Product_Table[],3,FALSE)</f>
        <v>Home</v>
      </c>
      <c r="K324">
        <f>_xlfn.XLOOKUP(Sales_Table[[#This Row],[ProductID]],Product_Table[ProductID],Product_Table[UnitPrice],"NULL",0)</f>
        <v>402.29</v>
      </c>
      <c r="L324" t="str">
        <f>_xlfn.XLOOKUP(Sales_Table[[#This Row],[CustomerID]],Customer_Table[CustomerID],Customer_Table[CustomerName],"NULL",0)</f>
        <v>Customer_79</v>
      </c>
      <c r="M324" t="str">
        <f>INDEX(Customer_Table[Country],MATCH(Sales_Table[[#This Row],[CustomerID]],Customer_Table[CustomerID],0))</f>
        <v>United States</v>
      </c>
      <c r="N324" t="str">
        <f>INDEX(Customer_Table[Email],MATCH(Sales_Table[[#This Row],[CustomerID]],Customer_Table[CustomerID],0))</f>
        <v>customer79@email.com</v>
      </c>
    </row>
    <row r="325" spans="1:14" x14ac:dyDescent="0.3">
      <c r="A325" t="s">
        <v>491</v>
      </c>
      <c r="B325" s="1">
        <v>45298</v>
      </c>
      <c r="C325" s="1" t="str">
        <f>TEXT(Sales_Table[[#This Row],[OrderDate]],"DDDD")</f>
        <v>Sunday</v>
      </c>
      <c r="D325" s="1" t="str">
        <f>TEXT(Sales_Table[[#This Row],[OrderDate]],"MMMM")</f>
        <v>January</v>
      </c>
      <c r="E325" t="s">
        <v>188</v>
      </c>
      <c r="F325" t="s">
        <v>268</v>
      </c>
      <c r="G325">
        <v>3</v>
      </c>
      <c r="H325">
        <v>587.1</v>
      </c>
      <c r="I325" t="str">
        <f>VLOOKUP(Sales_Table[[#This Row],[ProductID]],Product_Table[],2,FALSE)</f>
        <v>Product_25</v>
      </c>
      <c r="J325" t="str">
        <f>VLOOKUP(Sales_Table[[#This Row],[ProductID]],Product_Table[],3,FALSE)</f>
        <v>Clothing</v>
      </c>
      <c r="K325">
        <f>_xlfn.XLOOKUP(Sales_Table[[#This Row],[ProductID]],Product_Table[ProductID],Product_Table[UnitPrice],"NULL",0)</f>
        <v>195.7</v>
      </c>
      <c r="L325" t="str">
        <f>_xlfn.XLOOKUP(Sales_Table[[#This Row],[CustomerID]],Customer_Table[CustomerID],Customer_Table[CustomerName],"NULL",0)</f>
        <v>Customer_107</v>
      </c>
      <c r="M325" t="str">
        <f>INDEX(Customer_Table[Country],MATCH(Sales_Table[[#This Row],[CustomerID]],Customer_Table[CustomerID],0))</f>
        <v>United Kingdom</v>
      </c>
      <c r="N325" t="str">
        <f>INDEX(Customer_Table[Email],MATCH(Sales_Table[[#This Row],[CustomerID]],Customer_Table[CustomerID],0))</f>
        <v>customer107@email.com</v>
      </c>
    </row>
    <row r="326" spans="1:14" x14ac:dyDescent="0.3">
      <c r="A326" t="s">
        <v>492</v>
      </c>
      <c r="B326" s="1">
        <v>45350</v>
      </c>
      <c r="C326" s="1" t="str">
        <f>TEXT(Sales_Table[[#This Row],[OrderDate]],"DDDD")</f>
        <v>Wednesday</v>
      </c>
      <c r="D326" s="1" t="str">
        <f>TEXT(Sales_Table[[#This Row],[OrderDate]],"MMMM")</f>
        <v>February</v>
      </c>
      <c r="E326" t="s">
        <v>105</v>
      </c>
      <c r="F326" t="s">
        <v>160</v>
      </c>
      <c r="G326">
        <v>1</v>
      </c>
      <c r="H326">
        <v>340.85</v>
      </c>
      <c r="I326" t="str">
        <f>VLOOKUP(Sales_Table[[#This Row],[ProductID]],Product_Table[],2,FALSE)</f>
        <v>Product_38</v>
      </c>
      <c r="J326" t="str">
        <f>VLOOKUP(Sales_Table[[#This Row],[ProductID]],Product_Table[],3,FALSE)</f>
        <v>Electronics</v>
      </c>
      <c r="K326">
        <f>_xlfn.XLOOKUP(Sales_Table[[#This Row],[ProductID]],Product_Table[ProductID],Product_Table[UnitPrice],"NULL",0)</f>
        <v>340.85</v>
      </c>
      <c r="L326" t="str">
        <f>_xlfn.XLOOKUP(Sales_Table[[#This Row],[CustomerID]],Customer_Table[CustomerID],Customer_Table[CustomerName],"NULL",0)</f>
        <v>Customer_14</v>
      </c>
      <c r="M326" t="str">
        <f>INDEX(Customer_Table[Country],MATCH(Sales_Table[[#This Row],[CustomerID]],Customer_Table[CustomerID],0))</f>
        <v>United States</v>
      </c>
      <c r="N326" t="str">
        <f>INDEX(Customer_Table[Email],MATCH(Sales_Table[[#This Row],[CustomerID]],Customer_Table[CustomerID],0))</f>
        <v>customer14@email.com</v>
      </c>
    </row>
    <row r="327" spans="1:14" x14ac:dyDescent="0.3">
      <c r="A327" t="s">
        <v>493</v>
      </c>
      <c r="B327" s="1">
        <v>45442</v>
      </c>
      <c r="C327" s="1" t="str">
        <f>TEXT(Sales_Table[[#This Row],[OrderDate]],"DDDD")</f>
        <v>Thursday</v>
      </c>
      <c r="D327" s="1" t="str">
        <f>TEXT(Sales_Table[[#This Row],[OrderDate]],"MMMM")</f>
        <v>May</v>
      </c>
      <c r="E327" t="s">
        <v>272</v>
      </c>
      <c r="F327" t="s">
        <v>168</v>
      </c>
      <c r="G327">
        <v>5</v>
      </c>
      <c r="H327">
        <v>217.9</v>
      </c>
      <c r="I327" t="str">
        <f>VLOOKUP(Sales_Table[[#This Row],[ProductID]],Product_Table[],2,FALSE)</f>
        <v>Product_37</v>
      </c>
      <c r="J327" t="str">
        <f>VLOOKUP(Sales_Table[[#This Row],[ProductID]],Product_Table[],3,FALSE)</f>
        <v>Clothing</v>
      </c>
      <c r="K327">
        <f>_xlfn.XLOOKUP(Sales_Table[[#This Row],[ProductID]],Product_Table[ProductID],Product_Table[UnitPrice],"NULL",0)</f>
        <v>43.58</v>
      </c>
      <c r="L327" t="str">
        <f>_xlfn.XLOOKUP(Sales_Table[[#This Row],[CustomerID]],Customer_Table[CustomerID],Customer_Table[CustomerName],"NULL",0)</f>
        <v>Customer_67</v>
      </c>
      <c r="M327" t="str">
        <f>INDEX(Customer_Table[Country],MATCH(Sales_Table[[#This Row],[CustomerID]],Customer_Table[CustomerID],0))</f>
        <v>Canada</v>
      </c>
      <c r="N327" t="str">
        <f>INDEX(Customer_Table[Email],MATCH(Sales_Table[[#This Row],[CustomerID]],Customer_Table[CustomerID],0))</f>
        <v>customer67@email.com</v>
      </c>
    </row>
    <row r="328" spans="1:14" x14ac:dyDescent="0.3">
      <c r="A328" t="s">
        <v>494</v>
      </c>
      <c r="B328" s="1">
        <v>45464</v>
      </c>
      <c r="C328" s="1" t="str">
        <f>TEXT(Sales_Table[[#This Row],[OrderDate]],"DDDD")</f>
        <v>Friday</v>
      </c>
      <c r="D328" s="1" t="str">
        <f>TEXT(Sales_Table[[#This Row],[OrderDate]],"MMMM")</f>
        <v>June</v>
      </c>
      <c r="E328" t="s">
        <v>30</v>
      </c>
      <c r="F328" t="s">
        <v>76</v>
      </c>
      <c r="G328">
        <v>1</v>
      </c>
      <c r="H328">
        <v>402.29</v>
      </c>
      <c r="I328" t="str">
        <f>VLOOKUP(Sales_Table[[#This Row],[ProductID]],Product_Table[],2,FALSE)</f>
        <v>Product_13</v>
      </c>
      <c r="J328" t="str">
        <f>VLOOKUP(Sales_Table[[#This Row],[ProductID]],Product_Table[],3,FALSE)</f>
        <v>Home</v>
      </c>
      <c r="K328">
        <f>_xlfn.XLOOKUP(Sales_Table[[#This Row],[ProductID]],Product_Table[ProductID],Product_Table[UnitPrice],"NULL",0)</f>
        <v>402.29</v>
      </c>
      <c r="L328" t="str">
        <f>_xlfn.XLOOKUP(Sales_Table[[#This Row],[CustomerID]],Customer_Table[CustomerID],Customer_Table[CustomerName],"NULL",0)</f>
        <v>Customer_38</v>
      </c>
      <c r="M328" t="str">
        <f>INDEX(Customer_Table[Country],MATCH(Sales_Table[[#This Row],[CustomerID]],Customer_Table[CustomerID],0))</f>
        <v>United States</v>
      </c>
      <c r="N328" t="str">
        <f>INDEX(Customer_Table[Email],MATCH(Sales_Table[[#This Row],[CustomerID]],Customer_Table[CustomerID],0))</f>
        <v>customer38@email.com</v>
      </c>
    </row>
    <row r="329" spans="1:14" x14ac:dyDescent="0.3">
      <c r="A329" t="s">
        <v>495</v>
      </c>
      <c r="B329" s="1">
        <v>45439</v>
      </c>
      <c r="C329" s="1" t="str">
        <f>TEXT(Sales_Table[[#This Row],[OrderDate]],"DDDD")</f>
        <v>Monday</v>
      </c>
      <c r="D329" s="1" t="str">
        <f>TEXT(Sales_Table[[#This Row],[OrderDate]],"MMMM")</f>
        <v>May</v>
      </c>
      <c r="E329" t="s">
        <v>54</v>
      </c>
      <c r="F329" t="s">
        <v>46</v>
      </c>
      <c r="G329">
        <v>3</v>
      </c>
      <c r="H329">
        <v>1002.96</v>
      </c>
      <c r="I329" t="str">
        <f>VLOOKUP(Sales_Table[[#This Row],[ProductID]],Product_Table[],2,FALSE)</f>
        <v>Product_28</v>
      </c>
      <c r="J329" t="str">
        <f>VLOOKUP(Sales_Table[[#This Row],[ProductID]],Product_Table[],3,FALSE)</f>
        <v>Sports</v>
      </c>
      <c r="K329">
        <f>_xlfn.XLOOKUP(Sales_Table[[#This Row],[ProductID]],Product_Table[ProductID],Product_Table[UnitPrice],"NULL",0)</f>
        <v>334.32</v>
      </c>
      <c r="L329" t="str">
        <f>_xlfn.XLOOKUP(Sales_Table[[#This Row],[CustomerID]],Customer_Table[CustomerID],Customer_Table[CustomerName],"NULL",0)</f>
        <v>Customer_43</v>
      </c>
      <c r="M329" t="str">
        <f>INDEX(Customer_Table[Country],MATCH(Sales_Table[[#This Row],[CustomerID]],Customer_Table[CustomerID],0))</f>
        <v>United Kingdom</v>
      </c>
      <c r="N329" t="str">
        <f>INDEX(Customer_Table[Email],MATCH(Sales_Table[[#This Row],[CustomerID]],Customer_Table[CustomerID],0))</f>
        <v>customer43@email.com</v>
      </c>
    </row>
    <row r="330" spans="1:14" x14ac:dyDescent="0.3">
      <c r="A330" t="s">
        <v>496</v>
      </c>
      <c r="B330" s="1">
        <v>45336</v>
      </c>
      <c r="C330" s="1" t="str">
        <f>TEXT(Sales_Table[[#This Row],[OrderDate]],"DDDD")</f>
        <v>Wednesday</v>
      </c>
      <c r="D330" s="1" t="str">
        <f>TEXT(Sales_Table[[#This Row],[OrderDate]],"MMMM")</f>
        <v>February</v>
      </c>
      <c r="E330" t="s">
        <v>54</v>
      </c>
      <c r="F330" t="s">
        <v>25</v>
      </c>
      <c r="G330">
        <v>1</v>
      </c>
      <c r="H330">
        <v>394.46</v>
      </c>
      <c r="I330" t="str">
        <f>VLOOKUP(Sales_Table[[#This Row],[ProductID]],Product_Table[],2,FALSE)</f>
        <v>Product_6</v>
      </c>
      <c r="J330" t="str">
        <f>VLOOKUP(Sales_Table[[#This Row],[ProductID]],Product_Table[],3,FALSE)</f>
        <v>Clothing</v>
      </c>
      <c r="K330">
        <f>_xlfn.XLOOKUP(Sales_Table[[#This Row],[ProductID]],Product_Table[ProductID],Product_Table[UnitPrice],"NULL",0)</f>
        <v>394.46</v>
      </c>
      <c r="L330" t="str">
        <f>_xlfn.XLOOKUP(Sales_Table[[#This Row],[CustomerID]],Customer_Table[CustomerID],Customer_Table[CustomerName],"NULL",0)</f>
        <v>Customer_43</v>
      </c>
      <c r="M330" t="str">
        <f>INDEX(Customer_Table[Country],MATCH(Sales_Table[[#This Row],[CustomerID]],Customer_Table[CustomerID],0))</f>
        <v>United Kingdom</v>
      </c>
      <c r="N330" t="str">
        <f>INDEX(Customer_Table[Email],MATCH(Sales_Table[[#This Row],[CustomerID]],Customer_Table[CustomerID],0))</f>
        <v>customer43@email.com</v>
      </c>
    </row>
    <row r="331" spans="1:14" x14ac:dyDescent="0.3">
      <c r="A331" t="s">
        <v>497</v>
      </c>
      <c r="B331" s="1">
        <v>45424</v>
      </c>
      <c r="C331" s="1" t="str">
        <f>TEXT(Sales_Table[[#This Row],[OrderDate]],"DDDD")</f>
        <v>Sunday</v>
      </c>
      <c r="D331" s="1" t="str">
        <f>TEXT(Sales_Table[[#This Row],[OrderDate]],"MMMM")</f>
        <v>May</v>
      </c>
      <c r="E331" t="s">
        <v>184</v>
      </c>
      <c r="F331" t="s">
        <v>132</v>
      </c>
      <c r="G331">
        <v>4</v>
      </c>
      <c r="H331">
        <v>158.80000000000001</v>
      </c>
      <c r="I331" t="str">
        <f>VLOOKUP(Sales_Table[[#This Row],[ProductID]],Product_Table[],2,FALSE)</f>
        <v>Product_12</v>
      </c>
      <c r="J331" t="str">
        <f>VLOOKUP(Sales_Table[[#This Row],[ProductID]],Product_Table[],3,FALSE)</f>
        <v>Electronics</v>
      </c>
      <c r="K331">
        <f>_xlfn.XLOOKUP(Sales_Table[[#This Row],[ProductID]],Product_Table[ProductID],Product_Table[UnitPrice],"NULL",0)</f>
        <v>39.700000000000003</v>
      </c>
      <c r="L331" t="str">
        <f>_xlfn.XLOOKUP(Sales_Table[[#This Row],[CustomerID]],Customer_Table[CustomerID],Customer_Table[CustomerName],"NULL",0)</f>
        <v>Customer_35</v>
      </c>
      <c r="M331" t="str">
        <f>INDEX(Customer_Table[Country],MATCH(Sales_Table[[#This Row],[CustomerID]],Customer_Table[CustomerID],0))</f>
        <v>United Kingdom</v>
      </c>
      <c r="N331" t="str">
        <f>INDEX(Customer_Table[Email],MATCH(Sales_Table[[#This Row],[CustomerID]],Customer_Table[CustomerID],0))</f>
        <v>customer35@email.com</v>
      </c>
    </row>
    <row r="332" spans="1:14" x14ac:dyDescent="0.3">
      <c r="A332" t="s">
        <v>498</v>
      </c>
      <c r="B332" s="1">
        <v>45363</v>
      </c>
      <c r="C332" s="1" t="str">
        <f>TEXT(Sales_Table[[#This Row],[OrderDate]],"DDDD")</f>
        <v>Tuesday</v>
      </c>
      <c r="D332" s="1" t="str">
        <f>TEXT(Sales_Table[[#This Row],[OrderDate]],"MMMM")</f>
        <v>March</v>
      </c>
      <c r="E332" t="s">
        <v>222</v>
      </c>
      <c r="F332" t="s">
        <v>144</v>
      </c>
      <c r="G332">
        <v>4</v>
      </c>
      <c r="H332">
        <v>1724.88</v>
      </c>
      <c r="I332" t="str">
        <f>VLOOKUP(Sales_Table[[#This Row],[ProductID]],Product_Table[],2,FALSE)</f>
        <v>Product_1</v>
      </c>
      <c r="J332" t="str">
        <f>VLOOKUP(Sales_Table[[#This Row],[ProductID]],Product_Table[],3,FALSE)</f>
        <v>Electronics</v>
      </c>
      <c r="K332">
        <f>_xlfn.XLOOKUP(Sales_Table[[#This Row],[ProductID]],Product_Table[ProductID],Product_Table[UnitPrice],"NULL",0)</f>
        <v>431.22</v>
      </c>
      <c r="L332" t="str">
        <f>_xlfn.XLOOKUP(Sales_Table[[#This Row],[CustomerID]],Customer_Table[CustomerID],Customer_Table[CustomerName],"NULL",0)</f>
        <v>Customer_46</v>
      </c>
      <c r="M332" t="str">
        <f>INDEX(Customer_Table[Country],MATCH(Sales_Table[[#This Row],[CustomerID]],Customer_Table[CustomerID],0))</f>
        <v>United Kingdom</v>
      </c>
      <c r="N332" t="str">
        <f>INDEX(Customer_Table[Email],MATCH(Sales_Table[[#This Row],[CustomerID]],Customer_Table[CustomerID],0))</f>
        <v>customer46@email.com</v>
      </c>
    </row>
    <row r="333" spans="1:14" x14ac:dyDescent="0.3">
      <c r="A333" t="s">
        <v>499</v>
      </c>
      <c r="B333" s="1">
        <v>45441</v>
      </c>
      <c r="C333" s="1" t="str">
        <f>TEXT(Sales_Table[[#This Row],[OrderDate]],"DDDD")</f>
        <v>Wednesday</v>
      </c>
      <c r="D333" s="1" t="str">
        <f>TEXT(Sales_Table[[#This Row],[OrderDate]],"MMMM")</f>
        <v>May</v>
      </c>
      <c r="E333" t="s">
        <v>62</v>
      </c>
      <c r="F333" t="s">
        <v>43</v>
      </c>
      <c r="G333">
        <v>2</v>
      </c>
      <c r="H333">
        <v>584.67999999999995</v>
      </c>
      <c r="I333" t="str">
        <f>VLOOKUP(Sales_Table[[#This Row],[ProductID]],Product_Table[],2,FALSE)</f>
        <v>Product_5</v>
      </c>
      <c r="J333" t="str">
        <f>VLOOKUP(Sales_Table[[#This Row],[ProductID]],Product_Table[],3,FALSE)</f>
        <v>Sports</v>
      </c>
      <c r="K333">
        <f>_xlfn.XLOOKUP(Sales_Table[[#This Row],[ProductID]],Product_Table[ProductID],Product_Table[UnitPrice],"NULL",0)</f>
        <v>292.33999999999997</v>
      </c>
      <c r="L333" t="str">
        <f>_xlfn.XLOOKUP(Sales_Table[[#This Row],[CustomerID]],Customer_Table[CustomerID],Customer_Table[CustomerName],"NULL",0)</f>
        <v>Customer_71</v>
      </c>
      <c r="M333" t="str">
        <f>INDEX(Customer_Table[Country],MATCH(Sales_Table[[#This Row],[CustomerID]],Customer_Table[CustomerID],0))</f>
        <v>India</v>
      </c>
      <c r="N333" t="str">
        <f>INDEX(Customer_Table[Email],MATCH(Sales_Table[[#This Row],[CustomerID]],Customer_Table[CustomerID],0))</f>
        <v>customer71@email.com</v>
      </c>
    </row>
    <row r="334" spans="1:14" x14ac:dyDescent="0.3">
      <c r="A334" t="s">
        <v>500</v>
      </c>
      <c r="B334" s="1">
        <v>45454</v>
      </c>
      <c r="C334" s="1" t="str">
        <f>TEXT(Sales_Table[[#This Row],[OrderDate]],"DDDD")</f>
        <v>Tuesday</v>
      </c>
      <c r="D334" s="1" t="str">
        <f>TEXT(Sales_Table[[#This Row],[OrderDate]],"MMMM")</f>
        <v>June</v>
      </c>
      <c r="E334" t="s">
        <v>257</v>
      </c>
      <c r="F334" t="s">
        <v>46</v>
      </c>
      <c r="G334">
        <v>4</v>
      </c>
      <c r="H334">
        <v>1337.28</v>
      </c>
      <c r="I334" t="str">
        <f>VLOOKUP(Sales_Table[[#This Row],[ProductID]],Product_Table[],2,FALSE)</f>
        <v>Product_28</v>
      </c>
      <c r="J334" t="str">
        <f>VLOOKUP(Sales_Table[[#This Row],[ProductID]],Product_Table[],3,FALSE)</f>
        <v>Sports</v>
      </c>
      <c r="K334">
        <f>_xlfn.XLOOKUP(Sales_Table[[#This Row],[ProductID]],Product_Table[ProductID],Product_Table[UnitPrice],"NULL",0)</f>
        <v>334.32</v>
      </c>
      <c r="L334" t="str">
        <f>_xlfn.XLOOKUP(Sales_Table[[#This Row],[CustomerID]],Customer_Table[CustomerID],Customer_Table[CustomerName],"NULL",0)</f>
        <v>Customer_26</v>
      </c>
      <c r="M334" t="str">
        <f>INDEX(Customer_Table[Country],MATCH(Sales_Table[[#This Row],[CustomerID]],Customer_Table[CustomerID],0))</f>
        <v>Canada</v>
      </c>
      <c r="N334" t="str">
        <f>INDEX(Customer_Table[Email],MATCH(Sales_Table[[#This Row],[CustomerID]],Customer_Table[CustomerID],0))</f>
        <v>customer26@email.com</v>
      </c>
    </row>
    <row r="335" spans="1:14" x14ac:dyDescent="0.3">
      <c r="A335" t="s">
        <v>501</v>
      </c>
      <c r="B335" s="1">
        <v>45315</v>
      </c>
      <c r="C335" s="1" t="str">
        <f>TEXT(Sales_Table[[#This Row],[OrderDate]],"DDDD")</f>
        <v>Wednesday</v>
      </c>
      <c r="D335" s="1" t="str">
        <f>TEXT(Sales_Table[[#This Row],[OrderDate]],"MMMM")</f>
        <v>January</v>
      </c>
      <c r="E335" t="s">
        <v>447</v>
      </c>
      <c r="F335" t="s">
        <v>25</v>
      </c>
      <c r="G335">
        <v>4</v>
      </c>
      <c r="H335">
        <v>1577.84</v>
      </c>
      <c r="I335" t="str">
        <f>VLOOKUP(Sales_Table[[#This Row],[ProductID]],Product_Table[],2,FALSE)</f>
        <v>Product_6</v>
      </c>
      <c r="J335" t="str">
        <f>VLOOKUP(Sales_Table[[#This Row],[ProductID]],Product_Table[],3,FALSE)</f>
        <v>Clothing</v>
      </c>
      <c r="K335">
        <f>_xlfn.XLOOKUP(Sales_Table[[#This Row],[ProductID]],Product_Table[ProductID],Product_Table[UnitPrice],"NULL",0)</f>
        <v>394.46</v>
      </c>
      <c r="L335" t="str">
        <f>_xlfn.XLOOKUP(Sales_Table[[#This Row],[CustomerID]],Customer_Table[CustomerID],Customer_Table[CustomerName],"NULL",0)</f>
        <v>Customer_55</v>
      </c>
      <c r="M335" t="str">
        <f>INDEX(Customer_Table[Country],MATCH(Sales_Table[[#This Row],[CustomerID]],Customer_Table[CustomerID],0))</f>
        <v>Canada</v>
      </c>
      <c r="N335" t="str">
        <f>INDEX(Customer_Table[Email],MATCH(Sales_Table[[#This Row],[CustomerID]],Customer_Table[CustomerID],0))</f>
        <v>customer55@email.com</v>
      </c>
    </row>
    <row r="336" spans="1:14" x14ac:dyDescent="0.3">
      <c r="A336" t="s">
        <v>502</v>
      </c>
      <c r="B336" s="1">
        <v>45381</v>
      </c>
      <c r="C336" s="1" t="str">
        <f>TEXT(Sales_Table[[#This Row],[OrderDate]],"DDDD")</f>
        <v>Saturday</v>
      </c>
      <c r="D336" s="1" t="str">
        <f>TEXT(Sales_Table[[#This Row],[OrderDate]],"MMMM")</f>
        <v>March</v>
      </c>
      <c r="E336" t="s">
        <v>217</v>
      </c>
      <c r="F336" t="s">
        <v>63</v>
      </c>
      <c r="G336">
        <v>4</v>
      </c>
      <c r="H336">
        <v>522.6</v>
      </c>
      <c r="I336" t="str">
        <f>VLOOKUP(Sales_Table[[#This Row],[ProductID]],Product_Table[],2,FALSE)</f>
        <v>Product_40</v>
      </c>
      <c r="J336" t="str">
        <f>VLOOKUP(Sales_Table[[#This Row],[ProductID]],Product_Table[],3,FALSE)</f>
        <v>Sports</v>
      </c>
      <c r="K336">
        <f>_xlfn.XLOOKUP(Sales_Table[[#This Row],[ProductID]],Product_Table[ProductID],Product_Table[UnitPrice],"NULL",0)</f>
        <v>130.65</v>
      </c>
      <c r="L336" t="str">
        <f>_xlfn.XLOOKUP(Sales_Table[[#This Row],[CustomerID]],Customer_Table[CustomerID],Customer_Table[CustomerName],"NULL",0)</f>
        <v>Customer_63</v>
      </c>
      <c r="M336" t="str">
        <f>INDEX(Customer_Table[Country],MATCH(Sales_Table[[#This Row],[CustomerID]],Customer_Table[CustomerID],0))</f>
        <v>India</v>
      </c>
      <c r="N336" t="str">
        <f>INDEX(Customer_Table[Email],MATCH(Sales_Table[[#This Row],[CustomerID]],Customer_Table[CustomerID],0))</f>
        <v>customer63@email.com</v>
      </c>
    </row>
    <row r="337" spans="1:14" x14ac:dyDescent="0.3">
      <c r="A337" t="s">
        <v>503</v>
      </c>
      <c r="B337" s="1">
        <v>45377</v>
      </c>
      <c r="C337" s="1" t="str">
        <f>TEXT(Sales_Table[[#This Row],[OrderDate]],"DDDD")</f>
        <v>Tuesday</v>
      </c>
      <c r="D337" s="1" t="str">
        <f>TEXT(Sales_Table[[#This Row],[OrderDate]],"MMMM")</f>
        <v>March</v>
      </c>
      <c r="E337" t="s">
        <v>73</v>
      </c>
      <c r="F337" t="s">
        <v>168</v>
      </c>
      <c r="G337">
        <v>4</v>
      </c>
      <c r="H337">
        <v>174.32</v>
      </c>
      <c r="I337" t="str">
        <f>VLOOKUP(Sales_Table[[#This Row],[ProductID]],Product_Table[],2,FALSE)</f>
        <v>Product_37</v>
      </c>
      <c r="J337" t="str">
        <f>VLOOKUP(Sales_Table[[#This Row],[ProductID]],Product_Table[],3,FALSE)</f>
        <v>Clothing</v>
      </c>
      <c r="K337">
        <f>_xlfn.XLOOKUP(Sales_Table[[#This Row],[ProductID]],Product_Table[ProductID],Product_Table[UnitPrice],"NULL",0)</f>
        <v>43.58</v>
      </c>
      <c r="L337" t="str">
        <f>_xlfn.XLOOKUP(Sales_Table[[#This Row],[CustomerID]],Customer_Table[CustomerID],Customer_Table[CustomerName],"NULL",0)</f>
        <v>Customer_61</v>
      </c>
      <c r="M337" t="str">
        <f>INDEX(Customer_Table[Country],MATCH(Sales_Table[[#This Row],[CustomerID]],Customer_Table[CustomerID],0))</f>
        <v>India</v>
      </c>
      <c r="N337" t="str">
        <f>INDEX(Customer_Table[Email],MATCH(Sales_Table[[#This Row],[CustomerID]],Customer_Table[CustomerID],0))</f>
        <v>customer61@email.com</v>
      </c>
    </row>
    <row r="338" spans="1:14" x14ac:dyDescent="0.3">
      <c r="A338" t="s">
        <v>504</v>
      </c>
      <c r="B338" s="1">
        <v>45463</v>
      </c>
      <c r="C338" s="1" t="str">
        <f>TEXT(Sales_Table[[#This Row],[OrderDate]],"DDDD")</f>
        <v>Thursday</v>
      </c>
      <c r="D338" s="1" t="str">
        <f>TEXT(Sales_Table[[#This Row],[OrderDate]],"MMMM")</f>
        <v>June</v>
      </c>
      <c r="E338" t="s">
        <v>303</v>
      </c>
      <c r="F338" t="s">
        <v>36</v>
      </c>
      <c r="G338">
        <v>3</v>
      </c>
      <c r="H338">
        <v>1356.6</v>
      </c>
      <c r="I338" t="str">
        <f>VLOOKUP(Sales_Table[[#This Row],[ProductID]],Product_Table[],2,FALSE)</f>
        <v>Product_24</v>
      </c>
      <c r="J338" t="str">
        <f>VLOOKUP(Sales_Table[[#This Row],[ProductID]],Product_Table[],3,FALSE)</f>
        <v>Beauty</v>
      </c>
      <c r="K338">
        <f>_xlfn.XLOOKUP(Sales_Table[[#This Row],[ProductID]],Product_Table[ProductID],Product_Table[UnitPrice],"NULL",0)</f>
        <v>452.2</v>
      </c>
      <c r="L338" t="str">
        <f>_xlfn.XLOOKUP(Sales_Table[[#This Row],[CustomerID]],Customer_Table[CustomerID],Customer_Table[CustomerName],"NULL",0)</f>
        <v>Customer_16</v>
      </c>
      <c r="M338" t="str">
        <f>INDEX(Customer_Table[Country],MATCH(Sales_Table[[#This Row],[CustomerID]],Customer_Table[CustomerID],0))</f>
        <v>United States</v>
      </c>
      <c r="N338" t="str">
        <f>INDEX(Customer_Table[Email],MATCH(Sales_Table[[#This Row],[CustomerID]],Customer_Table[CustomerID],0))</f>
        <v>customer16@email.com</v>
      </c>
    </row>
    <row r="339" spans="1:14" x14ac:dyDescent="0.3">
      <c r="A339" t="s">
        <v>505</v>
      </c>
      <c r="B339" s="1">
        <v>45333</v>
      </c>
      <c r="C339" s="1" t="str">
        <f>TEXT(Sales_Table[[#This Row],[OrderDate]],"DDDD")</f>
        <v>Sunday</v>
      </c>
      <c r="D339" s="1" t="str">
        <f>TEXT(Sales_Table[[#This Row],[OrderDate]],"MMMM")</f>
        <v>February</v>
      </c>
      <c r="E339" t="s">
        <v>70</v>
      </c>
      <c r="F339" t="s">
        <v>80</v>
      </c>
      <c r="G339">
        <v>1</v>
      </c>
      <c r="H339">
        <v>216.72</v>
      </c>
      <c r="I339" t="str">
        <f>VLOOKUP(Sales_Table[[#This Row],[ProductID]],Product_Table[],2,FALSE)</f>
        <v>Product_16</v>
      </c>
      <c r="J339" t="str">
        <f>VLOOKUP(Sales_Table[[#This Row],[ProductID]],Product_Table[],3,FALSE)</f>
        <v>Clothing</v>
      </c>
      <c r="K339">
        <f>_xlfn.XLOOKUP(Sales_Table[[#This Row],[ProductID]],Product_Table[ProductID],Product_Table[UnitPrice],"NULL",0)</f>
        <v>216.72</v>
      </c>
      <c r="L339" t="str">
        <f>_xlfn.XLOOKUP(Sales_Table[[#This Row],[CustomerID]],Customer_Table[CustomerID],Customer_Table[CustomerName],"NULL",0)</f>
        <v>Customer_102</v>
      </c>
      <c r="M339" t="str">
        <f>INDEX(Customer_Table[Country],MATCH(Sales_Table[[#This Row],[CustomerID]],Customer_Table[CustomerID],0))</f>
        <v>Canada</v>
      </c>
      <c r="N339" t="str">
        <f>INDEX(Customer_Table[Email],MATCH(Sales_Table[[#This Row],[CustomerID]],Customer_Table[CustomerID],0))</f>
        <v>customer102@email.com</v>
      </c>
    </row>
    <row r="340" spans="1:14" x14ac:dyDescent="0.3">
      <c r="A340" t="s">
        <v>506</v>
      </c>
      <c r="B340" s="1">
        <v>45397</v>
      </c>
      <c r="C340" s="1" t="str">
        <f>TEXT(Sales_Table[[#This Row],[OrderDate]],"DDDD")</f>
        <v>Monday</v>
      </c>
      <c r="D340" s="1" t="str">
        <f>TEXT(Sales_Table[[#This Row],[OrderDate]],"MMMM")</f>
        <v>April</v>
      </c>
      <c r="E340" t="s">
        <v>167</v>
      </c>
      <c r="F340" t="s">
        <v>168</v>
      </c>
      <c r="G340">
        <v>3</v>
      </c>
      <c r="H340">
        <v>130.74</v>
      </c>
      <c r="I340" t="str">
        <f>VLOOKUP(Sales_Table[[#This Row],[ProductID]],Product_Table[],2,FALSE)</f>
        <v>Product_37</v>
      </c>
      <c r="J340" t="str">
        <f>VLOOKUP(Sales_Table[[#This Row],[ProductID]],Product_Table[],3,FALSE)</f>
        <v>Clothing</v>
      </c>
      <c r="K340">
        <f>_xlfn.XLOOKUP(Sales_Table[[#This Row],[ProductID]],Product_Table[ProductID],Product_Table[UnitPrice],"NULL",0)</f>
        <v>43.58</v>
      </c>
      <c r="L340" t="str">
        <f>_xlfn.XLOOKUP(Sales_Table[[#This Row],[CustomerID]],Customer_Table[CustomerID],Customer_Table[CustomerName],"NULL",0)</f>
        <v>Customer_79</v>
      </c>
      <c r="M340" t="str">
        <f>INDEX(Customer_Table[Country],MATCH(Sales_Table[[#This Row],[CustomerID]],Customer_Table[CustomerID],0))</f>
        <v>United States</v>
      </c>
      <c r="N340" t="str">
        <f>INDEX(Customer_Table[Email],MATCH(Sales_Table[[#This Row],[CustomerID]],Customer_Table[CustomerID],0))</f>
        <v>customer79@email.com</v>
      </c>
    </row>
    <row r="341" spans="1:14" x14ac:dyDescent="0.3">
      <c r="A341" t="s">
        <v>507</v>
      </c>
      <c r="B341" s="1">
        <v>45365</v>
      </c>
      <c r="C341" s="1" t="str">
        <f>TEXT(Sales_Table[[#This Row],[OrderDate]],"DDDD")</f>
        <v>Thursday</v>
      </c>
      <c r="D341" s="1" t="str">
        <f>TEXT(Sales_Table[[#This Row],[OrderDate]],"MMMM")</f>
        <v>March</v>
      </c>
      <c r="E341" t="s">
        <v>305</v>
      </c>
      <c r="F341" t="s">
        <v>43</v>
      </c>
      <c r="G341">
        <v>4</v>
      </c>
      <c r="H341">
        <v>1169.3599999999999</v>
      </c>
      <c r="I341" t="str">
        <f>VLOOKUP(Sales_Table[[#This Row],[ProductID]],Product_Table[],2,FALSE)</f>
        <v>Product_5</v>
      </c>
      <c r="J341" t="str">
        <f>VLOOKUP(Sales_Table[[#This Row],[ProductID]],Product_Table[],3,FALSE)</f>
        <v>Sports</v>
      </c>
      <c r="K341">
        <f>_xlfn.XLOOKUP(Sales_Table[[#This Row],[ProductID]],Product_Table[ProductID],Product_Table[UnitPrice],"NULL",0)</f>
        <v>292.33999999999997</v>
      </c>
      <c r="L341" t="str">
        <f>_xlfn.XLOOKUP(Sales_Table[[#This Row],[CustomerID]],Customer_Table[CustomerID],Customer_Table[CustomerName],"NULL",0)</f>
        <v>Customer_112</v>
      </c>
      <c r="M341" t="str">
        <f>INDEX(Customer_Table[Country],MATCH(Sales_Table[[#This Row],[CustomerID]],Customer_Table[CustomerID],0))</f>
        <v>United Kingdom</v>
      </c>
      <c r="N341" t="str">
        <f>INDEX(Customer_Table[Email],MATCH(Sales_Table[[#This Row],[CustomerID]],Customer_Table[CustomerID],0))</f>
        <v>customer112@email.com</v>
      </c>
    </row>
    <row r="342" spans="1:14" x14ac:dyDescent="0.3">
      <c r="A342" t="s">
        <v>508</v>
      </c>
      <c r="B342" s="1">
        <v>45432</v>
      </c>
      <c r="C342" s="1" t="str">
        <f>TEXT(Sales_Table[[#This Row],[OrderDate]],"DDDD")</f>
        <v>Monday</v>
      </c>
      <c r="D342" s="1" t="str">
        <f>TEXT(Sales_Table[[#This Row],[OrderDate]],"MMMM")</f>
        <v>May</v>
      </c>
      <c r="E342" t="s">
        <v>149</v>
      </c>
      <c r="F342" t="s">
        <v>160</v>
      </c>
      <c r="G342">
        <v>4</v>
      </c>
      <c r="H342">
        <v>1363.4</v>
      </c>
      <c r="I342" t="str">
        <f>VLOOKUP(Sales_Table[[#This Row],[ProductID]],Product_Table[],2,FALSE)</f>
        <v>Product_38</v>
      </c>
      <c r="J342" t="str">
        <f>VLOOKUP(Sales_Table[[#This Row],[ProductID]],Product_Table[],3,FALSE)</f>
        <v>Electronics</v>
      </c>
      <c r="K342">
        <f>_xlfn.XLOOKUP(Sales_Table[[#This Row],[ProductID]],Product_Table[ProductID],Product_Table[UnitPrice],"NULL",0)</f>
        <v>340.85</v>
      </c>
      <c r="L342" t="str">
        <f>_xlfn.XLOOKUP(Sales_Table[[#This Row],[CustomerID]],Customer_Table[CustomerID],Customer_Table[CustomerName],"NULL",0)</f>
        <v>Customer_101</v>
      </c>
      <c r="M342" t="str">
        <f>INDEX(Customer_Table[Country],MATCH(Sales_Table[[#This Row],[CustomerID]],Customer_Table[CustomerID],0))</f>
        <v>India</v>
      </c>
      <c r="N342" t="str">
        <f>INDEX(Customer_Table[Email],MATCH(Sales_Table[[#This Row],[CustomerID]],Customer_Table[CustomerID],0))</f>
        <v>customer101@email.com</v>
      </c>
    </row>
    <row r="343" spans="1:14" x14ac:dyDescent="0.3">
      <c r="A343" t="s">
        <v>509</v>
      </c>
      <c r="B343" s="1">
        <v>45408</v>
      </c>
      <c r="C343" s="1" t="str">
        <f>TEXT(Sales_Table[[#This Row],[OrderDate]],"DDDD")</f>
        <v>Friday</v>
      </c>
      <c r="D343" s="1" t="str">
        <f>TEXT(Sales_Table[[#This Row],[OrderDate]],"MMMM")</f>
        <v>April</v>
      </c>
      <c r="E343" t="s">
        <v>153</v>
      </c>
      <c r="F343" t="s">
        <v>43</v>
      </c>
      <c r="G343">
        <v>1</v>
      </c>
      <c r="H343">
        <v>292.33999999999997</v>
      </c>
      <c r="I343" t="str">
        <f>VLOOKUP(Sales_Table[[#This Row],[ProductID]],Product_Table[],2,FALSE)</f>
        <v>Product_5</v>
      </c>
      <c r="J343" t="str">
        <f>VLOOKUP(Sales_Table[[#This Row],[ProductID]],Product_Table[],3,FALSE)</f>
        <v>Sports</v>
      </c>
      <c r="K343">
        <f>_xlfn.XLOOKUP(Sales_Table[[#This Row],[ProductID]],Product_Table[ProductID],Product_Table[UnitPrice],"NULL",0)</f>
        <v>292.33999999999997</v>
      </c>
      <c r="L343" t="str">
        <f>_xlfn.XLOOKUP(Sales_Table[[#This Row],[CustomerID]],Customer_Table[CustomerID],Customer_Table[CustomerName],"NULL",0)</f>
        <v>Customer_66</v>
      </c>
      <c r="M343" t="str">
        <f>INDEX(Customer_Table[Country],MATCH(Sales_Table[[#This Row],[CustomerID]],Customer_Table[CustomerID],0))</f>
        <v>United Kingdom</v>
      </c>
      <c r="N343" t="str">
        <f>INDEX(Customer_Table[Email],MATCH(Sales_Table[[#This Row],[CustomerID]],Customer_Table[CustomerID],0))</f>
        <v>customer66@email.com</v>
      </c>
    </row>
    <row r="344" spans="1:14" x14ac:dyDescent="0.3">
      <c r="A344" t="s">
        <v>510</v>
      </c>
      <c r="B344" s="1">
        <v>45372</v>
      </c>
      <c r="C344" s="1" t="str">
        <f>TEXT(Sales_Table[[#This Row],[OrderDate]],"DDDD")</f>
        <v>Thursday</v>
      </c>
      <c r="D344" s="1" t="str">
        <f>TEXT(Sales_Table[[#This Row],[OrderDate]],"MMMM")</f>
        <v>March</v>
      </c>
      <c r="E344" t="s">
        <v>190</v>
      </c>
      <c r="F344" t="s">
        <v>130</v>
      </c>
      <c r="G344">
        <v>1</v>
      </c>
      <c r="H344">
        <v>87.14</v>
      </c>
      <c r="I344" t="str">
        <f>VLOOKUP(Sales_Table[[#This Row],[ProductID]],Product_Table[],2,FALSE)</f>
        <v>Product_35</v>
      </c>
      <c r="J344" t="str">
        <f>VLOOKUP(Sales_Table[[#This Row],[ProductID]],Product_Table[],3,FALSE)</f>
        <v>Sports</v>
      </c>
      <c r="K344">
        <f>_xlfn.XLOOKUP(Sales_Table[[#This Row],[ProductID]],Product_Table[ProductID],Product_Table[UnitPrice],"NULL",0)</f>
        <v>87.14</v>
      </c>
      <c r="L344" t="str">
        <f>_xlfn.XLOOKUP(Sales_Table[[#This Row],[CustomerID]],Customer_Table[CustomerID],Customer_Table[CustomerName],"NULL",0)</f>
        <v>Customer_88</v>
      </c>
      <c r="M344" t="str">
        <f>INDEX(Customer_Table[Country],MATCH(Sales_Table[[#This Row],[CustomerID]],Customer_Table[CustomerID],0))</f>
        <v>Canada</v>
      </c>
      <c r="N344" t="str">
        <f>INDEX(Customer_Table[Email],MATCH(Sales_Table[[#This Row],[CustomerID]],Customer_Table[CustomerID],0))</f>
        <v>customer88@email.com</v>
      </c>
    </row>
    <row r="345" spans="1:14" x14ac:dyDescent="0.3">
      <c r="A345" t="s">
        <v>511</v>
      </c>
      <c r="B345" s="1">
        <v>45374</v>
      </c>
      <c r="C345" s="1" t="str">
        <f>TEXT(Sales_Table[[#This Row],[OrderDate]],"DDDD")</f>
        <v>Saturday</v>
      </c>
      <c r="D345" s="1" t="str">
        <f>TEXT(Sales_Table[[#This Row],[OrderDate]],"MMMM")</f>
        <v>March</v>
      </c>
      <c r="E345" t="s">
        <v>439</v>
      </c>
      <c r="F345" t="s">
        <v>89</v>
      </c>
      <c r="G345">
        <v>3</v>
      </c>
      <c r="H345">
        <v>1299.8399999999999</v>
      </c>
      <c r="I345" t="str">
        <f>VLOOKUP(Sales_Table[[#This Row],[ProductID]],Product_Table[],2,FALSE)</f>
        <v>Product_10</v>
      </c>
      <c r="J345" t="str">
        <f>VLOOKUP(Sales_Table[[#This Row],[ProductID]],Product_Table[],3,FALSE)</f>
        <v>Beauty</v>
      </c>
      <c r="K345">
        <f>_xlfn.XLOOKUP(Sales_Table[[#This Row],[ProductID]],Product_Table[ProductID],Product_Table[UnitPrice],"NULL",0)</f>
        <v>433.28</v>
      </c>
      <c r="L345" t="str">
        <f>_xlfn.XLOOKUP(Sales_Table[[#This Row],[CustomerID]],Customer_Table[CustomerID],Customer_Table[CustomerName],"NULL",0)</f>
        <v>Customer_54</v>
      </c>
      <c r="M345" t="str">
        <f>INDEX(Customer_Table[Country],MATCH(Sales_Table[[#This Row],[CustomerID]],Customer_Table[CustomerID],0))</f>
        <v>United Kingdom</v>
      </c>
      <c r="N345" t="str">
        <f>INDEX(Customer_Table[Email],MATCH(Sales_Table[[#This Row],[CustomerID]],Customer_Table[CustomerID],0))</f>
        <v>customer54@email.com</v>
      </c>
    </row>
    <row r="346" spans="1:14" x14ac:dyDescent="0.3">
      <c r="A346" t="s">
        <v>512</v>
      </c>
      <c r="B346" s="1">
        <v>45395</v>
      </c>
      <c r="C346" s="1" t="str">
        <f>TEXT(Sales_Table[[#This Row],[OrderDate]],"DDDD")</f>
        <v>Saturday</v>
      </c>
      <c r="D346" s="1" t="str">
        <f>TEXT(Sales_Table[[#This Row],[OrderDate]],"MMMM")</f>
        <v>April</v>
      </c>
      <c r="E346" t="s">
        <v>97</v>
      </c>
      <c r="F346" t="s">
        <v>43</v>
      </c>
      <c r="G346">
        <v>1</v>
      </c>
      <c r="H346">
        <v>292.33999999999997</v>
      </c>
      <c r="I346" t="str">
        <f>VLOOKUP(Sales_Table[[#This Row],[ProductID]],Product_Table[],2,FALSE)</f>
        <v>Product_5</v>
      </c>
      <c r="J346" t="str">
        <f>VLOOKUP(Sales_Table[[#This Row],[ProductID]],Product_Table[],3,FALSE)</f>
        <v>Sports</v>
      </c>
      <c r="K346">
        <f>_xlfn.XLOOKUP(Sales_Table[[#This Row],[ProductID]],Product_Table[ProductID],Product_Table[UnitPrice],"NULL",0)</f>
        <v>292.33999999999997</v>
      </c>
      <c r="L346" t="str">
        <f>_xlfn.XLOOKUP(Sales_Table[[#This Row],[CustomerID]],Customer_Table[CustomerID],Customer_Table[CustomerName],"NULL",0)</f>
        <v>Customer_2</v>
      </c>
      <c r="M346" t="str">
        <f>INDEX(Customer_Table[Country],MATCH(Sales_Table[[#This Row],[CustomerID]],Customer_Table[CustomerID],0))</f>
        <v>United Kingdom</v>
      </c>
      <c r="N346" t="str">
        <f>INDEX(Customer_Table[Email],MATCH(Sales_Table[[#This Row],[CustomerID]],Customer_Table[CustomerID],0))</f>
        <v>customer2@email.com</v>
      </c>
    </row>
    <row r="347" spans="1:14" x14ac:dyDescent="0.3">
      <c r="A347" t="s">
        <v>513</v>
      </c>
      <c r="B347" s="1">
        <v>45292</v>
      </c>
      <c r="C347" s="1" t="str">
        <f>TEXT(Sales_Table[[#This Row],[OrderDate]],"DDDD")</f>
        <v>Monday</v>
      </c>
      <c r="D347" s="1" t="str">
        <f>TEXT(Sales_Table[[#This Row],[OrderDate]],"MMMM")</f>
        <v>January</v>
      </c>
      <c r="E347" t="s">
        <v>147</v>
      </c>
      <c r="F347" t="s">
        <v>52</v>
      </c>
      <c r="G347">
        <v>5</v>
      </c>
      <c r="H347">
        <v>1363.9</v>
      </c>
      <c r="I347" t="str">
        <f>VLOOKUP(Sales_Table[[#This Row],[ProductID]],Product_Table[],2,FALSE)</f>
        <v>Product_15</v>
      </c>
      <c r="J347" t="str">
        <f>VLOOKUP(Sales_Table[[#This Row],[ProductID]],Product_Table[],3,FALSE)</f>
        <v>Clothing</v>
      </c>
      <c r="K347">
        <f>_xlfn.XLOOKUP(Sales_Table[[#This Row],[ProductID]],Product_Table[ProductID],Product_Table[UnitPrice],"NULL",0)</f>
        <v>272.77999999999997</v>
      </c>
      <c r="L347" t="str">
        <f>_xlfn.XLOOKUP(Sales_Table[[#This Row],[CustomerID]],Customer_Table[CustomerID],Customer_Table[CustomerName],"NULL",0)</f>
        <v>Customer_30</v>
      </c>
      <c r="M347" t="str">
        <f>INDEX(Customer_Table[Country],MATCH(Sales_Table[[#This Row],[CustomerID]],Customer_Table[CustomerID],0))</f>
        <v>United States</v>
      </c>
      <c r="N347" t="str">
        <f>INDEX(Customer_Table[Email],MATCH(Sales_Table[[#This Row],[CustomerID]],Customer_Table[CustomerID],0))</f>
        <v>customer30@email.com</v>
      </c>
    </row>
    <row r="348" spans="1:14" x14ac:dyDescent="0.3">
      <c r="A348" t="s">
        <v>514</v>
      </c>
      <c r="B348" s="1">
        <v>45410</v>
      </c>
      <c r="C348" s="1" t="str">
        <f>TEXT(Sales_Table[[#This Row],[OrderDate]],"DDDD")</f>
        <v>Sunday</v>
      </c>
      <c r="D348" s="1" t="str">
        <f>TEXT(Sales_Table[[#This Row],[OrderDate]],"MMMM")</f>
        <v>April</v>
      </c>
      <c r="E348" t="s">
        <v>450</v>
      </c>
      <c r="F348" t="s">
        <v>71</v>
      </c>
      <c r="G348">
        <v>5</v>
      </c>
      <c r="H348">
        <v>289.89999999999998</v>
      </c>
      <c r="I348" t="str">
        <f>VLOOKUP(Sales_Table[[#This Row],[ProductID]],Product_Table[],2,FALSE)</f>
        <v>Product_19</v>
      </c>
      <c r="J348" t="str">
        <f>VLOOKUP(Sales_Table[[#This Row],[ProductID]],Product_Table[],3,FALSE)</f>
        <v>Sports</v>
      </c>
      <c r="K348">
        <f>_xlfn.XLOOKUP(Sales_Table[[#This Row],[ProductID]],Product_Table[ProductID],Product_Table[UnitPrice],"NULL",0)</f>
        <v>57.98</v>
      </c>
      <c r="L348" t="str">
        <f>_xlfn.XLOOKUP(Sales_Table[[#This Row],[CustomerID]],Customer_Table[CustomerID],Customer_Table[CustomerName],"NULL",0)</f>
        <v>Customer_17</v>
      </c>
      <c r="M348" t="str">
        <f>INDEX(Customer_Table[Country],MATCH(Sales_Table[[#This Row],[CustomerID]],Customer_Table[CustomerID],0))</f>
        <v>United Kingdom</v>
      </c>
      <c r="N348" t="str">
        <f>INDEX(Customer_Table[Email],MATCH(Sales_Table[[#This Row],[CustomerID]],Customer_Table[CustomerID],0))</f>
        <v>customer17@email.com</v>
      </c>
    </row>
    <row r="349" spans="1:14" x14ac:dyDescent="0.3">
      <c r="A349" t="s">
        <v>515</v>
      </c>
      <c r="B349" s="1">
        <v>45305</v>
      </c>
      <c r="C349" s="1" t="str">
        <f>TEXT(Sales_Table[[#This Row],[OrderDate]],"DDDD")</f>
        <v>Sunday</v>
      </c>
      <c r="D349" s="1" t="str">
        <f>TEXT(Sales_Table[[#This Row],[OrderDate]],"MMMM")</f>
        <v>January</v>
      </c>
      <c r="E349" t="s">
        <v>119</v>
      </c>
      <c r="F349" t="s">
        <v>116</v>
      </c>
      <c r="G349">
        <v>4</v>
      </c>
      <c r="H349">
        <v>197</v>
      </c>
      <c r="I349" t="str">
        <f>VLOOKUP(Sales_Table[[#This Row],[ProductID]],Product_Table[],2,FALSE)</f>
        <v>Product_36</v>
      </c>
      <c r="J349" t="str">
        <f>VLOOKUP(Sales_Table[[#This Row],[ProductID]],Product_Table[],3,FALSE)</f>
        <v>Sports</v>
      </c>
      <c r="K349">
        <f>_xlfn.XLOOKUP(Sales_Table[[#This Row],[ProductID]],Product_Table[ProductID],Product_Table[UnitPrice],"NULL",0)</f>
        <v>49.25</v>
      </c>
      <c r="L349" t="str">
        <f>_xlfn.XLOOKUP(Sales_Table[[#This Row],[CustomerID]],Customer_Table[CustomerID],Customer_Table[CustomerName],"NULL",0)</f>
        <v>Customer_59</v>
      </c>
      <c r="M349" t="str">
        <f>INDEX(Customer_Table[Country],MATCH(Sales_Table[[#This Row],[CustomerID]],Customer_Table[CustomerID],0))</f>
        <v>United Kingdom</v>
      </c>
      <c r="N349" t="str">
        <f>INDEX(Customer_Table[Email],MATCH(Sales_Table[[#This Row],[CustomerID]],Customer_Table[CustomerID],0))</f>
        <v>customer59@email.com</v>
      </c>
    </row>
    <row r="350" spans="1:14" x14ac:dyDescent="0.3">
      <c r="A350" t="s">
        <v>516</v>
      </c>
      <c r="B350" s="1">
        <v>45424</v>
      </c>
      <c r="C350" s="1" t="str">
        <f>TEXT(Sales_Table[[#This Row],[OrderDate]],"DDDD")</f>
        <v>Sunday</v>
      </c>
      <c r="D350" s="1" t="str">
        <f>TEXT(Sales_Table[[#This Row],[OrderDate]],"MMMM")</f>
        <v>May</v>
      </c>
      <c r="E350" t="s">
        <v>203</v>
      </c>
      <c r="F350" t="s">
        <v>116</v>
      </c>
      <c r="G350">
        <v>2</v>
      </c>
      <c r="H350">
        <v>98.5</v>
      </c>
      <c r="I350" t="str">
        <f>VLOOKUP(Sales_Table[[#This Row],[ProductID]],Product_Table[],2,FALSE)</f>
        <v>Product_36</v>
      </c>
      <c r="J350" t="str">
        <f>VLOOKUP(Sales_Table[[#This Row],[ProductID]],Product_Table[],3,FALSE)</f>
        <v>Sports</v>
      </c>
      <c r="K350">
        <f>_xlfn.XLOOKUP(Sales_Table[[#This Row],[ProductID]],Product_Table[ProductID],Product_Table[UnitPrice],"NULL",0)</f>
        <v>49.25</v>
      </c>
      <c r="L350" t="str">
        <f>_xlfn.XLOOKUP(Sales_Table[[#This Row],[CustomerID]],Customer_Table[CustomerID],Customer_Table[CustomerName],"NULL",0)</f>
        <v>Customer_32</v>
      </c>
      <c r="M350" t="str">
        <f>INDEX(Customer_Table[Country],MATCH(Sales_Table[[#This Row],[CustomerID]],Customer_Table[CustomerID],0))</f>
        <v>United Kingdom</v>
      </c>
      <c r="N350" t="str">
        <f>INDEX(Customer_Table[Email],MATCH(Sales_Table[[#This Row],[CustomerID]],Customer_Table[CustomerID],0))</f>
        <v>customer32@email.com</v>
      </c>
    </row>
    <row r="351" spans="1:14" x14ac:dyDescent="0.3">
      <c r="A351" t="s">
        <v>517</v>
      </c>
      <c r="B351" s="1">
        <v>45451</v>
      </c>
      <c r="C351" s="1" t="str">
        <f>TEXT(Sales_Table[[#This Row],[OrderDate]],"DDDD")</f>
        <v>Saturday</v>
      </c>
      <c r="D351" s="1" t="str">
        <f>TEXT(Sales_Table[[#This Row],[OrderDate]],"MMMM")</f>
        <v>June</v>
      </c>
      <c r="E351" t="s">
        <v>354</v>
      </c>
      <c r="F351" t="s">
        <v>204</v>
      </c>
      <c r="G351">
        <v>3</v>
      </c>
      <c r="H351">
        <v>737.61</v>
      </c>
      <c r="I351" t="str">
        <f>VLOOKUP(Sales_Table[[#This Row],[ProductID]],Product_Table[],2,FALSE)</f>
        <v>Product_23</v>
      </c>
      <c r="J351" t="str">
        <f>VLOOKUP(Sales_Table[[#This Row],[ProductID]],Product_Table[],3,FALSE)</f>
        <v>Beauty</v>
      </c>
      <c r="K351">
        <f>_xlfn.XLOOKUP(Sales_Table[[#This Row],[ProductID]],Product_Table[ProductID],Product_Table[UnitPrice],"NULL",0)</f>
        <v>245.87</v>
      </c>
      <c r="L351" t="str">
        <f>_xlfn.XLOOKUP(Sales_Table[[#This Row],[CustomerID]],Customer_Table[CustomerID],Customer_Table[CustomerName],"NULL",0)</f>
        <v>Customer_24</v>
      </c>
      <c r="M351" t="str">
        <f>INDEX(Customer_Table[Country],MATCH(Sales_Table[[#This Row],[CustomerID]],Customer_Table[CustomerID],0))</f>
        <v>Canada</v>
      </c>
      <c r="N351" t="str">
        <f>INDEX(Customer_Table[Email],MATCH(Sales_Table[[#This Row],[CustomerID]],Customer_Table[CustomerID],0))</f>
        <v>customer24@email.com</v>
      </c>
    </row>
    <row r="352" spans="1:14" x14ac:dyDescent="0.3">
      <c r="A352" t="s">
        <v>518</v>
      </c>
      <c r="B352" s="1">
        <v>45452</v>
      </c>
      <c r="C352" s="1" t="str">
        <f>TEXT(Sales_Table[[#This Row],[OrderDate]],"DDDD")</f>
        <v>Sunday</v>
      </c>
      <c r="D352" s="1" t="str">
        <f>TEXT(Sales_Table[[#This Row],[OrderDate]],"MMMM")</f>
        <v>June</v>
      </c>
      <c r="E352" t="s">
        <v>318</v>
      </c>
      <c r="F352" t="s">
        <v>137</v>
      </c>
      <c r="G352">
        <v>4</v>
      </c>
      <c r="H352">
        <v>466.68</v>
      </c>
      <c r="I352" t="str">
        <f>VLOOKUP(Sales_Table[[#This Row],[ProductID]],Product_Table[],2,FALSE)</f>
        <v>Product_30</v>
      </c>
      <c r="J352" t="str">
        <f>VLOOKUP(Sales_Table[[#This Row],[ProductID]],Product_Table[],3,FALSE)</f>
        <v>Home</v>
      </c>
      <c r="K352">
        <f>_xlfn.XLOOKUP(Sales_Table[[#This Row],[ProductID]],Product_Table[ProductID],Product_Table[UnitPrice],"NULL",0)</f>
        <v>116.67</v>
      </c>
      <c r="L352" t="str">
        <f>_xlfn.XLOOKUP(Sales_Table[[#This Row],[CustomerID]],Customer_Table[CustomerID],Customer_Table[CustomerName],"NULL",0)</f>
        <v>Customer_23</v>
      </c>
      <c r="M352" t="str">
        <f>INDEX(Customer_Table[Country],MATCH(Sales_Table[[#This Row],[CustomerID]],Customer_Table[CustomerID],0))</f>
        <v>United States</v>
      </c>
      <c r="N352" t="str">
        <f>INDEX(Customer_Table[Email],MATCH(Sales_Table[[#This Row],[CustomerID]],Customer_Table[CustomerID],0))</f>
        <v>customer23@email.com</v>
      </c>
    </row>
    <row r="353" spans="1:14" x14ac:dyDescent="0.3">
      <c r="A353" t="s">
        <v>519</v>
      </c>
      <c r="B353" s="1">
        <v>45305</v>
      </c>
      <c r="C353" s="1" t="str">
        <f>TEXT(Sales_Table[[#This Row],[OrderDate]],"DDDD")</f>
        <v>Sunday</v>
      </c>
      <c r="D353" s="1" t="str">
        <f>TEXT(Sales_Table[[#This Row],[OrderDate]],"MMMM")</f>
        <v>January</v>
      </c>
      <c r="E353" t="s">
        <v>82</v>
      </c>
      <c r="F353" t="s">
        <v>63</v>
      </c>
      <c r="G353">
        <v>4</v>
      </c>
      <c r="H353">
        <v>522.6</v>
      </c>
      <c r="I353" t="str">
        <f>VLOOKUP(Sales_Table[[#This Row],[ProductID]],Product_Table[],2,FALSE)</f>
        <v>Product_40</v>
      </c>
      <c r="J353" t="str">
        <f>VLOOKUP(Sales_Table[[#This Row],[ProductID]],Product_Table[],3,FALSE)</f>
        <v>Sports</v>
      </c>
      <c r="K353">
        <f>_xlfn.XLOOKUP(Sales_Table[[#This Row],[ProductID]],Product_Table[ProductID],Product_Table[UnitPrice],"NULL",0)</f>
        <v>130.65</v>
      </c>
      <c r="L353" t="str">
        <f>_xlfn.XLOOKUP(Sales_Table[[#This Row],[CustomerID]],Customer_Table[CustomerID],Customer_Table[CustomerName],"NULL",0)</f>
        <v>Customer_1</v>
      </c>
      <c r="M353" t="str">
        <f>INDEX(Customer_Table[Country],MATCH(Sales_Table[[#This Row],[CustomerID]],Customer_Table[CustomerID],0))</f>
        <v>India</v>
      </c>
      <c r="N353" t="str">
        <f>INDEX(Customer_Table[Email],MATCH(Sales_Table[[#This Row],[CustomerID]],Customer_Table[CustomerID],0))</f>
        <v>customer1@email.com</v>
      </c>
    </row>
    <row r="354" spans="1:14" x14ac:dyDescent="0.3">
      <c r="A354" t="s">
        <v>520</v>
      </c>
      <c r="B354" s="1">
        <v>45360</v>
      </c>
      <c r="C354" s="1" t="str">
        <f>TEXT(Sales_Table[[#This Row],[OrderDate]],"DDDD")</f>
        <v>Saturday</v>
      </c>
      <c r="D354" s="1" t="str">
        <f>TEXT(Sales_Table[[#This Row],[OrderDate]],"MMMM")</f>
        <v>March</v>
      </c>
      <c r="E354" t="s">
        <v>18</v>
      </c>
      <c r="F354" t="s">
        <v>173</v>
      </c>
      <c r="G354">
        <v>2</v>
      </c>
      <c r="H354">
        <v>523.88</v>
      </c>
      <c r="I354" t="str">
        <f>VLOOKUP(Sales_Table[[#This Row],[ProductID]],Product_Table[],2,FALSE)</f>
        <v>Product_2</v>
      </c>
      <c r="J354" t="str">
        <f>VLOOKUP(Sales_Table[[#This Row],[ProductID]],Product_Table[],3,FALSE)</f>
        <v>Electronics</v>
      </c>
      <c r="K354">
        <f>_xlfn.XLOOKUP(Sales_Table[[#This Row],[ProductID]],Product_Table[ProductID],Product_Table[UnitPrice],"NULL",0)</f>
        <v>261.94</v>
      </c>
      <c r="L354" t="str">
        <f>_xlfn.XLOOKUP(Sales_Table[[#This Row],[CustomerID]],Customer_Table[CustomerID],Customer_Table[CustomerName],"NULL",0)</f>
        <v>Customer_77</v>
      </c>
      <c r="M354" t="str">
        <f>INDEX(Customer_Table[Country],MATCH(Sales_Table[[#This Row],[CustomerID]],Customer_Table[CustomerID],0))</f>
        <v>India</v>
      </c>
      <c r="N354" t="str">
        <f>INDEX(Customer_Table[Email],MATCH(Sales_Table[[#This Row],[CustomerID]],Customer_Table[CustomerID],0))</f>
        <v>customer77@email.com</v>
      </c>
    </row>
    <row r="355" spans="1:14" x14ac:dyDescent="0.3">
      <c r="A355" t="s">
        <v>521</v>
      </c>
      <c r="B355" s="1">
        <v>45325</v>
      </c>
      <c r="C355" s="1" t="str">
        <f>TEXT(Sales_Table[[#This Row],[OrderDate]],"DDDD")</f>
        <v>Saturday</v>
      </c>
      <c r="D355" s="1" t="str">
        <f>TEXT(Sales_Table[[#This Row],[OrderDate]],"MMMM")</f>
        <v>February</v>
      </c>
      <c r="E355" t="s">
        <v>522</v>
      </c>
      <c r="F355" t="s">
        <v>144</v>
      </c>
      <c r="G355">
        <v>5</v>
      </c>
      <c r="H355">
        <v>2156.1</v>
      </c>
      <c r="I355" t="str">
        <f>VLOOKUP(Sales_Table[[#This Row],[ProductID]],Product_Table[],2,FALSE)</f>
        <v>Product_1</v>
      </c>
      <c r="J355" t="str">
        <f>VLOOKUP(Sales_Table[[#This Row],[ProductID]],Product_Table[],3,FALSE)</f>
        <v>Electronics</v>
      </c>
      <c r="K355">
        <f>_xlfn.XLOOKUP(Sales_Table[[#This Row],[ProductID]],Product_Table[ProductID],Product_Table[UnitPrice],"NULL",0)</f>
        <v>431.22</v>
      </c>
      <c r="L355" t="str">
        <f>_xlfn.XLOOKUP(Sales_Table[[#This Row],[CustomerID]],Customer_Table[CustomerID],Customer_Table[CustomerName],"NULL",0)</f>
        <v>Customer_52</v>
      </c>
      <c r="M355" t="str">
        <f>INDEX(Customer_Table[Country],MATCH(Sales_Table[[#This Row],[CustomerID]],Customer_Table[CustomerID],0))</f>
        <v>United Kingdom</v>
      </c>
      <c r="N355" t="str">
        <f>INDEX(Customer_Table[Email],MATCH(Sales_Table[[#This Row],[CustomerID]],Customer_Table[CustomerID],0))</f>
        <v>customer52@email.com</v>
      </c>
    </row>
    <row r="356" spans="1:14" x14ac:dyDescent="0.3">
      <c r="A356" t="s">
        <v>523</v>
      </c>
      <c r="B356" s="1">
        <v>45404</v>
      </c>
      <c r="C356" s="1" t="str">
        <f>TEXT(Sales_Table[[#This Row],[OrderDate]],"DDDD")</f>
        <v>Monday</v>
      </c>
      <c r="D356" s="1" t="str">
        <f>TEXT(Sales_Table[[#This Row],[OrderDate]],"MMMM")</f>
        <v>April</v>
      </c>
      <c r="E356" t="s">
        <v>444</v>
      </c>
      <c r="F356" t="s">
        <v>43</v>
      </c>
      <c r="G356">
        <v>3</v>
      </c>
      <c r="H356">
        <v>877.02</v>
      </c>
      <c r="I356" t="str">
        <f>VLOOKUP(Sales_Table[[#This Row],[ProductID]],Product_Table[],2,FALSE)</f>
        <v>Product_5</v>
      </c>
      <c r="J356" t="str">
        <f>VLOOKUP(Sales_Table[[#This Row],[ProductID]],Product_Table[],3,FALSE)</f>
        <v>Sports</v>
      </c>
      <c r="K356">
        <f>_xlfn.XLOOKUP(Sales_Table[[#This Row],[ProductID]],Product_Table[ProductID],Product_Table[UnitPrice],"NULL",0)</f>
        <v>292.33999999999997</v>
      </c>
      <c r="L356" t="str">
        <f>_xlfn.XLOOKUP(Sales_Table[[#This Row],[CustomerID]],Customer_Table[CustomerID],Customer_Table[CustomerName],"NULL",0)</f>
        <v>Customer_108</v>
      </c>
      <c r="M356" t="str">
        <f>INDEX(Customer_Table[Country],MATCH(Sales_Table[[#This Row],[CustomerID]],Customer_Table[CustomerID],0))</f>
        <v>United States</v>
      </c>
      <c r="N356" t="str">
        <f>INDEX(Customer_Table[Email],MATCH(Sales_Table[[#This Row],[CustomerID]],Customer_Table[CustomerID],0))</f>
        <v>customer108@email.com</v>
      </c>
    </row>
    <row r="357" spans="1:14" x14ac:dyDescent="0.3">
      <c r="A357" t="s">
        <v>524</v>
      </c>
      <c r="B357" s="1">
        <v>45323</v>
      </c>
      <c r="C357" s="1" t="str">
        <f>TEXT(Sales_Table[[#This Row],[OrderDate]],"DDDD")</f>
        <v>Thursday</v>
      </c>
      <c r="D357" s="1" t="str">
        <f>TEXT(Sales_Table[[#This Row],[OrderDate]],"MMMM")</f>
        <v>February</v>
      </c>
      <c r="E357" t="s">
        <v>175</v>
      </c>
      <c r="F357" t="s">
        <v>160</v>
      </c>
      <c r="G357">
        <v>4</v>
      </c>
      <c r="H357">
        <v>1363.4</v>
      </c>
      <c r="I357" t="str">
        <f>VLOOKUP(Sales_Table[[#This Row],[ProductID]],Product_Table[],2,FALSE)</f>
        <v>Product_38</v>
      </c>
      <c r="J357" t="str">
        <f>VLOOKUP(Sales_Table[[#This Row],[ProductID]],Product_Table[],3,FALSE)</f>
        <v>Electronics</v>
      </c>
      <c r="K357">
        <f>_xlfn.XLOOKUP(Sales_Table[[#This Row],[ProductID]],Product_Table[ProductID],Product_Table[UnitPrice],"NULL",0)</f>
        <v>340.85</v>
      </c>
      <c r="L357" t="str">
        <f>_xlfn.XLOOKUP(Sales_Table[[#This Row],[CustomerID]],Customer_Table[CustomerID],Customer_Table[CustomerName],"NULL",0)</f>
        <v>Customer_113</v>
      </c>
      <c r="M357" t="str">
        <f>INDEX(Customer_Table[Country],MATCH(Sales_Table[[#This Row],[CustomerID]],Customer_Table[CustomerID],0))</f>
        <v>United Kingdom</v>
      </c>
      <c r="N357" t="str">
        <f>INDEX(Customer_Table[Email],MATCH(Sales_Table[[#This Row],[CustomerID]],Customer_Table[CustomerID],0))</f>
        <v>customer113@email.com</v>
      </c>
    </row>
    <row r="358" spans="1:14" x14ac:dyDescent="0.3">
      <c r="A358" t="s">
        <v>525</v>
      </c>
      <c r="B358" s="1">
        <v>45453</v>
      </c>
      <c r="C358" s="1" t="str">
        <f>TEXT(Sales_Table[[#This Row],[OrderDate]],"DDDD")</f>
        <v>Monday</v>
      </c>
      <c r="D358" s="1" t="str">
        <f>TEXT(Sales_Table[[#This Row],[OrderDate]],"MMMM")</f>
        <v>June</v>
      </c>
      <c r="E358" t="s">
        <v>82</v>
      </c>
      <c r="F358" t="s">
        <v>19</v>
      </c>
      <c r="G358">
        <v>1</v>
      </c>
      <c r="H358">
        <v>39.869999999999997</v>
      </c>
      <c r="I358" t="str">
        <f>VLOOKUP(Sales_Table[[#This Row],[ProductID]],Product_Table[],2,FALSE)</f>
        <v>Product_32</v>
      </c>
      <c r="J358" t="str">
        <f>VLOOKUP(Sales_Table[[#This Row],[ProductID]],Product_Table[],3,FALSE)</f>
        <v>Sports</v>
      </c>
      <c r="K358">
        <f>_xlfn.XLOOKUP(Sales_Table[[#This Row],[ProductID]],Product_Table[ProductID],Product_Table[UnitPrice],"NULL",0)</f>
        <v>39.869999999999997</v>
      </c>
      <c r="L358" t="str">
        <f>_xlfn.XLOOKUP(Sales_Table[[#This Row],[CustomerID]],Customer_Table[CustomerID],Customer_Table[CustomerName],"NULL",0)</f>
        <v>Customer_1</v>
      </c>
      <c r="M358" t="str">
        <f>INDEX(Customer_Table[Country],MATCH(Sales_Table[[#This Row],[CustomerID]],Customer_Table[CustomerID],0))</f>
        <v>India</v>
      </c>
      <c r="N358" t="str">
        <f>INDEX(Customer_Table[Email],MATCH(Sales_Table[[#This Row],[CustomerID]],Customer_Table[CustomerID],0))</f>
        <v>customer1@email.com</v>
      </c>
    </row>
    <row r="359" spans="1:14" x14ac:dyDescent="0.3">
      <c r="A359" t="s">
        <v>526</v>
      </c>
      <c r="B359" s="1">
        <v>45353</v>
      </c>
      <c r="C359" s="1" t="str">
        <f>TEXT(Sales_Table[[#This Row],[OrderDate]],"DDDD")</f>
        <v>Saturday</v>
      </c>
      <c r="D359" s="1" t="str">
        <f>TEXT(Sales_Table[[#This Row],[OrderDate]],"MMMM")</f>
        <v>March</v>
      </c>
      <c r="E359" t="s">
        <v>210</v>
      </c>
      <c r="F359" t="s">
        <v>46</v>
      </c>
      <c r="G359">
        <v>5</v>
      </c>
      <c r="H359">
        <v>1671.6</v>
      </c>
      <c r="I359" t="str">
        <f>VLOOKUP(Sales_Table[[#This Row],[ProductID]],Product_Table[],2,FALSE)</f>
        <v>Product_28</v>
      </c>
      <c r="J359" t="str">
        <f>VLOOKUP(Sales_Table[[#This Row],[ProductID]],Product_Table[],3,FALSE)</f>
        <v>Sports</v>
      </c>
      <c r="K359">
        <f>_xlfn.XLOOKUP(Sales_Table[[#This Row],[ProductID]],Product_Table[ProductID],Product_Table[UnitPrice],"NULL",0)</f>
        <v>334.32</v>
      </c>
      <c r="L359" t="str">
        <f>_xlfn.XLOOKUP(Sales_Table[[#This Row],[CustomerID]],Customer_Table[CustomerID],Customer_Table[CustomerName],"NULL",0)</f>
        <v>Customer_48</v>
      </c>
      <c r="M359" t="str">
        <f>INDEX(Customer_Table[Country],MATCH(Sales_Table[[#This Row],[CustomerID]],Customer_Table[CustomerID],0))</f>
        <v>India</v>
      </c>
      <c r="N359" t="str">
        <f>INDEX(Customer_Table[Email],MATCH(Sales_Table[[#This Row],[CustomerID]],Customer_Table[CustomerID],0))</f>
        <v>customer48@email.com</v>
      </c>
    </row>
    <row r="360" spans="1:14" x14ac:dyDescent="0.3">
      <c r="A360" t="s">
        <v>527</v>
      </c>
      <c r="B360" s="1">
        <v>45371</v>
      </c>
      <c r="C360" s="1" t="str">
        <f>TEXT(Sales_Table[[#This Row],[OrderDate]],"DDDD")</f>
        <v>Wednesday</v>
      </c>
      <c r="D360" s="1" t="str">
        <f>TEXT(Sales_Table[[#This Row],[OrderDate]],"MMMM")</f>
        <v>March</v>
      </c>
      <c r="E360" t="s">
        <v>121</v>
      </c>
      <c r="F360" t="s">
        <v>19</v>
      </c>
      <c r="G360">
        <v>2</v>
      </c>
      <c r="H360">
        <v>79.739999999999995</v>
      </c>
      <c r="I360" t="str">
        <f>VLOOKUP(Sales_Table[[#This Row],[ProductID]],Product_Table[],2,FALSE)</f>
        <v>Product_32</v>
      </c>
      <c r="J360" t="str">
        <f>VLOOKUP(Sales_Table[[#This Row],[ProductID]],Product_Table[],3,FALSE)</f>
        <v>Sports</v>
      </c>
      <c r="K360">
        <f>_xlfn.XLOOKUP(Sales_Table[[#This Row],[ProductID]],Product_Table[ProductID],Product_Table[UnitPrice],"NULL",0)</f>
        <v>39.869999999999997</v>
      </c>
      <c r="L360" t="str">
        <f>_xlfn.XLOOKUP(Sales_Table[[#This Row],[CustomerID]],Customer_Table[CustomerID],Customer_Table[CustomerName],"NULL",0)</f>
        <v>Customer_50</v>
      </c>
      <c r="M360" t="str">
        <f>INDEX(Customer_Table[Country],MATCH(Sales_Table[[#This Row],[CustomerID]],Customer_Table[CustomerID],0))</f>
        <v>India</v>
      </c>
      <c r="N360" t="str">
        <f>INDEX(Customer_Table[Email],MATCH(Sales_Table[[#This Row],[CustomerID]],Customer_Table[CustomerID],0))</f>
        <v>customer50@email.com</v>
      </c>
    </row>
    <row r="361" spans="1:14" x14ac:dyDescent="0.3">
      <c r="A361" t="s">
        <v>528</v>
      </c>
      <c r="B361" s="1">
        <v>45295</v>
      </c>
      <c r="C361" s="1" t="str">
        <f>TEXT(Sales_Table[[#This Row],[OrderDate]],"DDDD")</f>
        <v>Thursday</v>
      </c>
      <c r="D361" s="1" t="str">
        <f>TEXT(Sales_Table[[#This Row],[OrderDate]],"MMMM")</f>
        <v>January</v>
      </c>
      <c r="E361" t="s">
        <v>310</v>
      </c>
      <c r="F361" t="s">
        <v>36</v>
      </c>
      <c r="G361">
        <v>5</v>
      </c>
      <c r="H361">
        <v>2261</v>
      </c>
      <c r="I361" t="str">
        <f>VLOOKUP(Sales_Table[[#This Row],[ProductID]],Product_Table[],2,FALSE)</f>
        <v>Product_24</v>
      </c>
      <c r="J361" t="str">
        <f>VLOOKUP(Sales_Table[[#This Row],[ProductID]],Product_Table[],3,FALSE)</f>
        <v>Beauty</v>
      </c>
      <c r="K361">
        <f>_xlfn.XLOOKUP(Sales_Table[[#This Row],[ProductID]],Product_Table[ProductID],Product_Table[UnitPrice],"NULL",0)</f>
        <v>452.2</v>
      </c>
      <c r="L361" t="str">
        <f>_xlfn.XLOOKUP(Sales_Table[[#This Row],[CustomerID]],Customer_Table[CustomerID],Customer_Table[CustomerName],"NULL",0)</f>
        <v>Customer_103</v>
      </c>
      <c r="M361" t="str">
        <f>INDEX(Customer_Table[Country],MATCH(Sales_Table[[#This Row],[CustomerID]],Customer_Table[CustomerID],0))</f>
        <v>United States</v>
      </c>
      <c r="N361" t="str">
        <f>INDEX(Customer_Table[Email],MATCH(Sales_Table[[#This Row],[CustomerID]],Customer_Table[CustomerID],0))</f>
        <v>customer103@email.com</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D15FD-DD13-4650-A800-CA1B28C8F277}">
  <dimension ref="A1:D41"/>
  <sheetViews>
    <sheetView workbookViewId="0">
      <selection activeCell="B1" sqref="B1:B1048576"/>
    </sheetView>
  </sheetViews>
  <sheetFormatPr defaultRowHeight="14.4" x14ac:dyDescent="0.3"/>
  <cols>
    <col min="1" max="1" width="10.33203125" customWidth="1"/>
    <col min="2" max="2" width="13.109375" customWidth="1"/>
    <col min="3" max="4" width="9.44140625" customWidth="1"/>
  </cols>
  <sheetData>
    <row r="1" spans="1:4" x14ac:dyDescent="0.3">
      <c r="A1" s="2" t="s">
        <v>5</v>
      </c>
      <c r="B1" s="2" t="s">
        <v>8</v>
      </c>
      <c r="C1" s="2" t="s">
        <v>9</v>
      </c>
      <c r="D1" s="2" t="s">
        <v>10</v>
      </c>
    </row>
    <row r="2" spans="1:4" x14ac:dyDescent="0.3">
      <c r="A2" t="s">
        <v>144</v>
      </c>
      <c r="B2" t="s">
        <v>529</v>
      </c>
      <c r="C2" t="s">
        <v>530</v>
      </c>
      <c r="D2">
        <v>431.22</v>
      </c>
    </row>
    <row r="3" spans="1:4" x14ac:dyDescent="0.3">
      <c r="A3" t="s">
        <v>173</v>
      </c>
      <c r="B3" t="s">
        <v>531</v>
      </c>
      <c r="C3" t="s">
        <v>530</v>
      </c>
      <c r="D3">
        <v>261.94</v>
      </c>
    </row>
    <row r="4" spans="1:4" x14ac:dyDescent="0.3">
      <c r="A4" t="s">
        <v>140</v>
      </c>
      <c r="B4" t="s">
        <v>532</v>
      </c>
      <c r="C4" t="s">
        <v>533</v>
      </c>
      <c r="D4">
        <v>337.8</v>
      </c>
    </row>
    <row r="5" spans="1:4" x14ac:dyDescent="0.3">
      <c r="A5" t="s">
        <v>312</v>
      </c>
      <c r="B5" t="s">
        <v>534</v>
      </c>
      <c r="C5" t="s">
        <v>535</v>
      </c>
      <c r="D5">
        <v>274.22000000000003</v>
      </c>
    </row>
    <row r="6" spans="1:4" x14ac:dyDescent="0.3">
      <c r="A6" t="s">
        <v>43</v>
      </c>
      <c r="B6" t="s">
        <v>536</v>
      </c>
      <c r="C6" t="s">
        <v>537</v>
      </c>
      <c r="D6">
        <v>292.33999999999997</v>
      </c>
    </row>
    <row r="7" spans="1:4" x14ac:dyDescent="0.3">
      <c r="A7" t="s">
        <v>25</v>
      </c>
      <c r="B7" t="s">
        <v>538</v>
      </c>
      <c r="C7" t="s">
        <v>535</v>
      </c>
      <c r="D7">
        <v>394.46</v>
      </c>
    </row>
    <row r="8" spans="1:4" x14ac:dyDescent="0.3">
      <c r="A8" t="s">
        <v>31</v>
      </c>
      <c r="B8" t="s">
        <v>539</v>
      </c>
      <c r="C8" t="s">
        <v>540</v>
      </c>
      <c r="D8">
        <v>103.3</v>
      </c>
    </row>
    <row r="9" spans="1:4" x14ac:dyDescent="0.3">
      <c r="A9" t="s">
        <v>154</v>
      </c>
      <c r="B9" t="s">
        <v>541</v>
      </c>
      <c r="C9" t="s">
        <v>530</v>
      </c>
      <c r="D9">
        <v>332.9</v>
      </c>
    </row>
    <row r="10" spans="1:4" x14ac:dyDescent="0.3">
      <c r="A10" t="s">
        <v>186</v>
      </c>
      <c r="B10" t="s">
        <v>542</v>
      </c>
      <c r="C10" t="s">
        <v>533</v>
      </c>
      <c r="D10">
        <v>217.55</v>
      </c>
    </row>
    <row r="11" spans="1:4" x14ac:dyDescent="0.3">
      <c r="A11" t="s">
        <v>89</v>
      </c>
      <c r="B11" t="s">
        <v>543</v>
      </c>
      <c r="C11" t="s">
        <v>540</v>
      </c>
      <c r="D11">
        <v>433.28</v>
      </c>
    </row>
    <row r="12" spans="1:4" x14ac:dyDescent="0.3">
      <c r="A12" t="s">
        <v>156</v>
      </c>
      <c r="B12" t="s">
        <v>544</v>
      </c>
      <c r="C12" t="s">
        <v>530</v>
      </c>
      <c r="D12">
        <v>339.95</v>
      </c>
    </row>
    <row r="13" spans="1:4" x14ac:dyDescent="0.3">
      <c r="A13" t="s">
        <v>132</v>
      </c>
      <c r="B13" t="s">
        <v>545</v>
      </c>
      <c r="C13" t="s">
        <v>530</v>
      </c>
      <c r="D13">
        <v>39.700000000000003</v>
      </c>
    </row>
    <row r="14" spans="1:4" x14ac:dyDescent="0.3">
      <c r="A14" t="s">
        <v>76</v>
      </c>
      <c r="B14" t="s">
        <v>546</v>
      </c>
      <c r="C14" t="s">
        <v>533</v>
      </c>
      <c r="D14">
        <v>402.29</v>
      </c>
    </row>
    <row r="15" spans="1:4" x14ac:dyDescent="0.3">
      <c r="A15" t="s">
        <v>106</v>
      </c>
      <c r="B15" t="s">
        <v>547</v>
      </c>
      <c r="C15" t="s">
        <v>530</v>
      </c>
      <c r="D15">
        <v>131.84</v>
      </c>
    </row>
    <row r="16" spans="1:4" x14ac:dyDescent="0.3">
      <c r="A16" t="s">
        <v>52</v>
      </c>
      <c r="B16" t="s">
        <v>548</v>
      </c>
      <c r="C16" t="s">
        <v>535</v>
      </c>
      <c r="D16">
        <v>272.77999999999997</v>
      </c>
    </row>
    <row r="17" spans="1:4" x14ac:dyDescent="0.3">
      <c r="A17" t="s">
        <v>80</v>
      </c>
      <c r="B17" t="s">
        <v>549</v>
      </c>
      <c r="C17" t="s">
        <v>535</v>
      </c>
      <c r="D17">
        <v>216.72</v>
      </c>
    </row>
    <row r="18" spans="1:4" x14ac:dyDescent="0.3">
      <c r="A18" t="s">
        <v>22</v>
      </c>
      <c r="B18" t="s">
        <v>550</v>
      </c>
      <c r="C18" t="s">
        <v>533</v>
      </c>
      <c r="D18">
        <v>236.69</v>
      </c>
    </row>
    <row r="19" spans="1:4" x14ac:dyDescent="0.3">
      <c r="A19" t="s">
        <v>122</v>
      </c>
      <c r="B19" t="s">
        <v>551</v>
      </c>
      <c r="C19" t="s">
        <v>530</v>
      </c>
      <c r="D19">
        <v>227.13</v>
      </c>
    </row>
    <row r="20" spans="1:4" x14ac:dyDescent="0.3">
      <c r="A20" t="s">
        <v>71</v>
      </c>
      <c r="B20" t="s">
        <v>552</v>
      </c>
      <c r="C20" t="s">
        <v>537</v>
      </c>
      <c r="D20">
        <v>57.98</v>
      </c>
    </row>
    <row r="21" spans="1:4" x14ac:dyDescent="0.3">
      <c r="A21" t="s">
        <v>16</v>
      </c>
      <c r="B21" t="s">
        <v>553</v>
      </c>
      <c r="C21" t="s">
        <v>537</v>
      </c>
      <c r="D21">
        <v>419.65</v>
      </c>
    </row>
    <row r="22" spans="1:4" x14ac:dyDescent="0.3">
      <c r="A22" t="s">
        <v>233</v>
      </c>
      <c r="B22" t="s">
        <v>554</v>
      </c>
      <c r="C22" t="s">
        <v>530</v>
      </c>
      <c r="D22">
        <v>463.92</v>
      </c>
    </row>
    <row r="23" spans="1:4" x14ac:dyDescent="0.3">
      <c r="A23" t="s">
        <v>68</v>
      </c>
      <c r="B23" t="s">
        <v>555</v>
      </c>
      <c r="C23" t="s">
        <v>535</v>
      </c>
      <c r="D23">
        <v>91.49</v>
      </c>
    </row>
    <row r="24" spans="1:4" x14ac:dyDescent="0.3">
      <c r="A24" t="s">
        <v>204</v>
      </c>
      <c r="B24" t="s">
        <v>556</v>
      </c>
      <c r="C24" t="s">
        <v>540</v>
      </c>
      <c r="D24">
        <v>245.87</v>
      </c>
    </row>
    <row r="25" spans="1:4" x14ac:dyDescent="0.3">
      <c r="A25" t="s">
        <v>36</v>
      </c>
      <c r="B25" t="s">
        <v>557</v>
      </c>
      <c r="C25" t="s">
        <v>540</v>
      </c>
      <c r="D25">
        <v>452.2</v>
      </c>
    </row>
    <row r="26" spans="1:4" x14ac:dyDescent="0.3">
      <c r="A26" t="s">
        <v>268</v>
      </c>
      <c r="B26" t="s">
        <v>558</v>
      </c>
      <c r="C26" t="s">
        <v>535</v>
      </c>
      <c r="D26">
        <v>195.7</v>
      </c>
    </row>
    <row r="27" spans="1:4" x14ac:dyDescent="0.3">
      <c r="A27" t="s">
        <v>111</v>
      </c>
      <c r="B27" t="s">
        <v>559</v>
      </c>
      <c r="C27" t="s">
        <v>540</v>
      </c>
      <c r="D27">
        <v>139.94999999999999</v>
      </c>
    </row>
    <row r="28" spans="1:4" x14ac:dyDescent="0.3">
      <c r="A28" t="s">
        <v>34</v>
      </c>
      <c r="B28" t="s">
        <v>560</v>
      </c>
      <c r="C28" t="s">
        <v>540</v>
      </c>
      <c r="D28">
        <v>149.77000000000001</v>
      </c>
    </row>
    <row r="29" spans="1:4" x14ac:dyDescent="0.3">
      <c r="A29" t="s">
        <v>46</v>
      </c>
      <c r="B29" t="s">
        <v>561</v>
      </c>
      <c r="C29" t="s">
        <v>537</v>
      </c>
      <c r="D29">
        <v>334.32</v>
      </c>
    </row>
    <row r="30" spans="1:4" x14ac:dyDescent="0.3">
      <c r="A30" t="s">
        <v>60</v>
      </c>
      <c r="B30" t="s">
        <v>562</v>
      </c>
      <c r="C30" t="s">
        <v>540</v>
      </c>
      <c r="D30">
        <v>85.85</v>
      </c>
    </row>
    <row r="31" spans="1:4" x14ac:dyDescent="0.3">
      <c r="A31" t="s">
        <v>137</v>
      </c>
      <c r="B31" t="s">
        <v>563</v>
      </c>
      <c r="C31" t="s">
        <v>533</v>
      </c>
      <c r="D31">
        <v>116.67</v>
      </c>
    </row>
    <row r="32" spans="1:4" x14ac:dyDescent="0.3">
      <c r="A32" t="s">
        <v>57</v>
      </c>
      <c r="B32" t="s">
        <v>564</v>
      </c>
      <c r="C32" t="s">
        <v>530</v>
      </c>
      <c r="D32">
        <v>293.8</v>
      </c>
    </row>
    <row r="33" spans="1:4" x14ac:dyDescent="0.3">
      <c r="A33" t="s">
        <v>19</v>
      </c>
      <c r="B33" t="s">
        <v>565</v>
      </c>
      <c r="C33" t="s">
        <v>537</v>
      </c>
      <c r="D33">
        <v>39.869999999999997</v>
      </c>
    </row>
    <row r="34" spans="1:4" x14ac:dyDescent="0.3">
      <c r="A34" t="s">
        <v>49</v>
      </c>
      <c r="B34" t="s">
        <v>566</v>
      </c>
      <c r="C34" t="s">
        <v>533</v>
      </c>
      <c r="D34">
        <v>38.01</v>
      </c>
    </row>
    <row r="35" spans="1:4" x14ac:dyDescent="0.3">
      <c r="A35" t="s">
        <v>239</v>
      </c>
      <c r="B35" t="s">
        <v>567</v>
      </c>
      <c r="C35" t="s">
        <v>537</v>
      </c>
      <c r="D35">
        <v>243.63</v>
      </c>
    </row>
    <row r="36" spans="1:4" x14ac:dyDescent="0.3">
      <c r="A36" t="s">
        <v>130</v>
      </c>
      <c r="B36" t="s">
        <v>568</v>
      </c>
      <c r="C36" t="s">
        <v>537</v>
      </c>
      <c r="D36">
        <v>87.14</v>
      </c>
    </row>
    <row r="37" spans="1:4" x14ac:dyDescent="0.3">
      <c r="A37" t="s">
        <v>116</v>
      </c>
      <c r="B37" t="s">
        <v>569</v>
      </c>
      <c r="C37" t="s">
        <v>537</v>
      </c>
      <c r="D37">
        <v>49.25</v>
      </c>
    </row>
    <row r="38" spans="1:4" x14ac:dyDescent="0.3">
      <c r="A38" t="s">
        <v>168</v>
      </c>
      <c r="B38" t="s">
        <v>570</v>
      </c>
      <c r="C38" t="s">
        <v>535</v>
      </c>
      <c r="D38">
        <v>43.58</v>
      </c>
    </row>
    <row r="39" spans="1:4" x14ac:dyDescent="0.3">
      <c r="A39" t="s">
        <v>160</v>
      </c>
      <c r="B39" t="s">
        <v>571</v>
      </c>
      <c r="C39" t="s">
        <v>530</v>
      </c>
      <c r="D39">
        <v>340.85</v>
      </c>
    </row>
    <row r="40" spans="1:4" x14ac:dyDescent="0.3">
      <c r="A40" t="s">
        <v>28</v>
      </c>
      <c r="B40" t="s">
        <v>572</v>
      </c>
      <c r="C40" t="s">
        <v>535</v>
      </c>
      <c r="D40">
        <v>207.85</v>
      </c>
    </row>
    <row r="41" spans="1:4" x14ac:dyDescent="0.3">
      <c r="A41" t="s">
        <v>63</v>
      </c>
      <c r="B41" t="s">
        <v>573</v>
      </c>
      <c r="C41" t="s">
        <v>537</v>
      </c>
      <c r="D41">
        <v>130.65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6A19-B03F-4CA2-8C24-06C2088ECD4A}">
  <dimension ref="A1:E121"/>
  <sheetViews>
    <sheetView workbookViewId="0">
      <selection activeCell="D1" sqref="D1:D1048576"/>
    </sheetView>
  </sheetViews>
  <sheetFormatPr defaultRowHeight="14.4" x14ac:dyDescent="0.3"/>
  <cols>
    <col min="1" max="1" width="11.44140625" customWidth="1"/>
    <col min="2" max="2" width="14.44140625" customWidth="1"/>
    <col min="4" max="4" width="13.6640625" bestFit="1" customWidth="1"/>
    <col min="5" max="5" width="11.33203125" customWidth="1"/>
  </cols>
  <sheetData>
    <row r="1" spans="1:5" x14ac:dyDescent="0.3">
      <c r="A1" s="2" t="s">
        <v>4</v>
      </c>
      <c r="B1" s="2" t="s">
        <v>11</v>
      </c>
      <c r="C1" s="2" t="s">
        <v>13</v>
      </c>
      <c r="D1" s="2" t="s">
        <v>12</v>
      </c>
      <c r="E1" s="2" t="s">
        <v>574</v>
      </c>
    </row>
    <row r="2" spans="1:5" x14ac:dyDescent="0.3">
      <c r="A2" t="s">
        <v>82</v>
      </c>
      <c r="B2" t="s">
        <v>575</v>
      </c>
      <c r="C2" t="s">
        <v>576</v>
      </c>
      <c r="D2" t="s">
        <v>577</v>
      </c>
      <c r="E2" s="1">
        <v>44984</v>
      </c>
    </row>
    <row r="3" spans="1:5" x14ac:dyDescent="0.3">
      <c r="A3" t="s">
        <v>97</v>
      </c>
      <c r="B3" t="s">
        <v>578</v>
      </c>
      <c r="C3" t="s">
        <v>579</v>
      </c>
      <c r="D3" t="s">
        <v>580</v>
      </c>
      <c r="E3" s="1">
        <v>45067</v>
      </c>
    </row>
    <row r="4" spans="1:5" x14ac:dyDescent="0.3">
      <c r="A4" t="s">
        <v>178</v>
      </c>
      <c r="B4" t="s">
        <v>581</v>
      </c>
      <c r="C4" t="s">
        <v>582</v>
      </c>
      <c r="D4" t="s">
        <v>580</v>
      </c>
      <c r="E4" s="1">
        <v>45041</v>
      </c>
    </row>
    <row r="5" spans="1:5" x14ac:dyDescent="0.3">
      <c r="A5" t="s">
        <v>418</v>
      </c>
      <c r="B5" t="s">
        <v>583</v>
      </c>
      <c r="C5" t="s">
        <v>584</v>
      </c>
      <c r="D5" t="s">
        <v>580</v>
      </c>
      <c r="E5" s="1">
        <v>44979</v>
      </c>
    </row>
    <row r="6" spans="1:5" x14ac:dyDescent="0.3">
      <c r="A6" t="s">
        <v>143</v>
      </c>
      <c r="B6" t="s">
        <v>585</v>
      </c>
      <c r="C6" t="s">
        <v>586</v>
      </c>
      <c r="D6" t="s">
        <v>577</v>
      </c>
      <c r="E6" s="1">
        <v>45206</v>
      </c>
    </row>
    <row r="7" spans="1:5" x14ac:dyDescent="0.3">
      <c r="A7" t="s">
        <v>38</v>
      </c>
      <c r="B7" t="s">
        <v>587</v>
      </c>
      <c r="C7" t="s">
        <v>588</v>
      </c>
      <c r="D7" t="s">
        <v>580</v>
      </c>
      <c r="E7" s="1">
        <v>45229</v>
      </c>
    </row>
    <row r="8" spans="1:5" x14ac:dyDescent="0.3">
      <c r="A8" t="s">
        <v>589</v>
      </c>
      <c r="B8" t="s">
        <v>590</v>
      </c>
      <c r="C8" t="s">
        <v>591</v>
      </c>
      <c r="D8" t="s">
        <v>592</v>
      </c>
      <c r="E8" s="1">
        <v>44943</v>
      </c>
    </row>
    <row r="9" spans="1:5" x14ac:dyDescent="0.3">
      <c r="A9" t="s">
        <v>253</v>
      </c>
      <c r="B9" t="s">
        <v>593</v>
      </c>
      <c r="C9" t="s">
        <v>594</v>
      </c>
      <c r="D9" t="s">
        <v>580</v>
      </c>
      <c r="E9" s="1">
        <v>44974</v>
      </c>
    </row>
    <row r="10" spans="1:5" x14ac:dyDescent="0.3">
      <c r="A10" t="s">
        <v>237</v>
      </c>
      <c r="B10" t="s">
        <v>595</v>
      </c>
      <c r="C10" t="s">
        <v>596</v>
      </c>
      <c r="D10" t="s">
        <v>580</v>
      </c>
      <c r="E10" s="1">
        <v>45046</v>
      </c>
    </row>
    <row r="11" spans="1:5" x14ac:dyDescent="0.3">
      <c r="A11" t="s">
        <v>214</v>
      </c>
      <c r="B11" t="s">
        <v>597</v>
      </c>
      <c r="C11" t="s">
        <v>598</v>
      </c>
      <c r="D11" t="s">
        <v>599</v>
      </c>
      <c r="E11" s="1">
        <v>45235</v>
      </c>
    </row>
    <row r="12" spans="1:5" x14ac:dyDescent="0.3">
      <c r="A12" t="s">
        <v>288</v>
      </c>
      <c r="B12" t="s">
        <v>600</v>
      </c>
      <c r="C12" t="s">
        <v>601</v>
      </c>
      <c r="D12" t="s">
        <v>580</v>
      </c>
      <c r="E12" s="1">
        <v>45214</v>
      </c>
    </row>
    <row r="13" spans="1:5" x14ac:dyDescent="0.3">
      <c r="A13" t="s">
        <v>158</v>
      </c>
      <c r="B13" t="s">
        <v>602</v>
      </c>
      <c r="C13" t="s">
        <v>603</v>
      </c>
      <c r="D13" t="s">
        <v>580</v>
      </c>
      <c r="E13" s="1">
        <v>45259</v>
      </c>
    </row>
    <row r="14" spans="1:5" x14ac:dyDescent="0.3">
      <c r="A14" t="s">
        <v>475</v>
      </c>
      <c r="B14" t="s">
        <v>604</v>
      </c>
      <c r="C14" t="s">
        <v>605</v>
      </c>
      <c r="D14" t="s">
        <v>577</v>
      </c>
      <c r="E14" s="1">
        <v>45206</v>
      </c>
    </row>
    <row r="15" spans="1:5" x14ac:dyDescent="0.3">
      <c r="A15" t="s">
        <v>105</v>
      </c>
      <c r="B15" t="s">
        <v>606</v>
      </c>
      <c r="C15" t="s">
        <v>607</v>
      </c>
      <c r="D15" t="s">
        <v>592</v>
      </c>
      <c r="E15" s="1">
        <v>45039</v>
      </c>
    </row>
    <row r="16" spans="1:5" x14ac:dyDescent="0.3">
      <c r="A16" t="s">
        <v>249</v>
      </c>
      <c r="B16" t="s">
        <v>608</v>
      </c>
      <c r="C16" t="s">
        <v>609</v>
      </c>
      <c r="D16" t="s">
        <v>592</v>
      </c>
      <c r="E16" s="1">
        <v>45228</v>
      </c>
    </row>
    <row r="17" spans="1:5" x14ac:dyDescent="0.3">
      <c r="A17" t="s">
        <v>303</v>
      </c>
      <c r="B17" t="s">
        <v>610</v>
      </c>
      <c r="C17" t="s">
        <v>611</v>
      </c>
      <c r="D17" t="s">
        <v>592</v>
      </c>
      <c r="E17" s="1">
        <v>44930</v>
      </c>
    </row>
    <row r="18" spans="1:5" x14ac:dyDescent="0.3">
      <c r="A18" t="s">
        <v>450</v>
      </c>
      <c r="B18" t="s">
        <v>612</v>
      </c>
      <c r="C18" t="s">
        <v>613</v>
      </c>
      <c r="D18" t="s">
        <v>580</v>
      </c>
      <c r="E18" s="1">
        <v>45284</v>
      </c>
    </row>
    <row r="19" spans="1:5" x14ac:dyDescent="0.3">
      <c r="A19" t="s">
        <v>27</v>
      </c>
      <c r="B19" t="s">
        <v>614</v>
      </c>
      <c r="C19" t="s">
        <v>615</v>
      </c>
      <c r="D19" t="s">
        <v>592</v>
      </c>
      <c r="E19" s="1">
        <v>45101</v>
      </c>
    </row>
    <row r="20" spans="1:5" x14ac:dyDescent="0.3">
      <c r="A20" t="s">
        <v>291</v>
      </c>
      <c r="B20" t="s">
        <v>616</v>
      </c>
      <c r="C20" t="s">
        <v>617</v>
      </c>
      <c r="D20" t="s">
        <v>592</v>
      </c>
      <c r="E20" s="1">
        <v>45006</v>
      </c>
    </row>
    <row r="21" spans="1:5" x14ac:dyDescent="0.3">
      <c r="A21" t="s">
        <v>277</v>
      </c>
      <c r="B21" t="s">
        <v>618</v>
      </c>
      <c r="C21" t="s">
        <v>619</v>
      </c>
      <c r="D21" t="s">
        <v>580</v>
      </c>
      <c r="E21" s="1">
        <v>45099</v>
      </c>
    </row>
    <row r="22" spans="1:5" x14ac:dyDescent="0.3">
      <c r="A22" t="s">
        <v>40</v>
      </c>
      <c r="B22" t="s">
        <v>620</v>
      </c>
      <c r="C22" t="s">
        <v>621</v>
      </c>
      <c r="D22" t="s">
        <v>580</v>
      </c>
      <c r="E22" s="1">
        <v>44974</v>
      </c>
    </row>
    <row r="23" spans="1:5" x14ac:dyDescent="0.3">
      <c r="A23" t="s">
        <v>331</v>
      </c>
      <c r="B23" t="s">
        <v>622</v>
      </c>
      <c r="C23" t="s">
        <v>623</v>
      </c>
      <c r="D23" t="s">
        <v>592</v>
      </c>
      <c r="E23" s="1">
        <v>44976</v>
      </c>
    </row>
    <row r="24" spans="1:5" x14ac:dyDescent="0.3">
      <c r="A24" t="s">
        <v>318</v>
      </c>
      <c r="B24" t="s">
        <v>624</v>
      </c>
      <c r="C24" t="s">
        <v>625</v>
      </c>
      <c r="D24" t="s">
        <v>592</v>
      </c>
      <c r="E24" s="1">
        <v>45103</v>
      </c>
    </row>
    <row r="25" spans="1:5" x14ac:dyDescent="0.3">
      <c r="A25" t="s">
        <v>354</v>
      </c>
      <c r="B25" t="s">
        <v>626</v>
      </c>
      <c r="C25" t="s">
        <v>627</v>
      </c>
      <c r="D25" t="s">
        <v>599</v>
      </c>
      <c r="E25" s="1">
        <v>45062</v>
      </c>
    </row>
    <row r="26" spans="1:5" x14ac:dyDescent="0.3">
      <c r="A26" t="s">
        <v>48</v>
      </c>
      <c r="B26" t="s">
        <v>628</v>
      </c>
      <c r="C26" t="s">
        <v>629</v>
      </c>
      <c r="D26" t="s">
        <v>580</v>
      </c>
      <c r="E26" s="1">
        <v>45162</v>
      </c>
    </row>
    <row r="27" spans="1:5" x14ac:dyDescent="0.3">
      <c r="A27" t="s">
        <v>257</v>
      </c>
      <c r="B27" t="s">
        <v>630</v>
      </c>
      <c r="C27" t="s">
        <v>631</v>
      </c>
      <c r="D27" t="s">
        <v>599</v>
      </c>
      <c r="E27" s="1">
        <v>44990</v>
      </c>
    </row>
    <row r="28" spans="1:5" x14ac:dyDescent="0.3">
      <c r="A28" t="s">
        <v>78</v>
      </c>
      <c r="B28" t="s">
        <v>632</v>
      </c>
      <c r="C28" t="s">
        <v>633</v>
      </c>
      <c r="D28" t="s">
        <v>592</v>
      </c>
      <c r="E28" s="1">
        <v>44967</v>
      </c>
    </row>
    <row r="29" spans="1:5" x14ac:dyDescent="0.3">
      <c r="A29" t="s">
        <v>634</v>
      </c>
      <c r="B29" t="s">
        <v>635</v>
      </c>
      <c r="C29" t="s">
        <v>636</v>
      </c>
      <c r="D29" t="s">
        <v>599</v>
      </c>
      <c r="E29" s="1">
        <v>45077</v>
      </c>
    </row>
    <row r="30" spans="1:5" x14ac:dyDescent="0.3">
      <c r="A30" t="s">
        <v>251</v>
      </c>
      <c r="B30" t="s">
        <v>637</v>
      </c>
      <c r="C30" t="s">
        <v>638</v>
      </c>
      <c r="D30" t="s">
        <v>577</v>
      </c>
      <c r="E30" s="1">
        <v>45243</v>
      </c>
    </row>
    <row r="31" spans="1:5" x14ac:dyDescent="0.3">
      <c r="A31" t="s">
        <v>147</v>
      </c>
      <c r="B31" t="s">
        <v>639</v>
      </c>
      <c r="C31" t="s">
        <v>640</v>
      </c>
      <c r="D31" t="s">
        <v>592</v>
      </c>
      <c r="E31" s="1">
        <v>45222</v>
      </c>
    </row>
    <row r="32" spans="1:5" x14ac:dyDescent="0.3">
      <c r="A32" t="s">
        <v>95</v>
      </c>
      <c r="B32" t="s">
        <v>641</v>
      </c>
      <c r="C32" t="s">
        <v>642</v>
      </c>
      <c r="D32" t="s">
        <v>580</v>
      </c>
      <c r="E32" s="1">
        <v>45287</v>
      </c>
    </row>
    <row r="33" spans="1:5" x14ac:dyDescent="0.3">
      <c r="A33" t="s">
        <v>203</v>
      </c>
      <c r="B33" t="s">
        <v>643</v>
      </c>
      <c r="C33" t="s">
        <v>644</v>
      </c>
      <c r="D33" t="s">
        <v>580</v>
      </c>
      <c r="E33" s="1">
        <v>44950</v>
      </c>
    </row>
    <row r="34" spans="1:5" x14ac:dyDescent="0.3">
      <c r="A34" t="s">
        <v>430</v>
      </c>
      <c r="B34" t="s">
        <v>645</v>
      </c>
      <c r="C34" t="s">
        <v>646</v>
      </c>
      <c r="D34" t="s">
        <v>577</v>
      </c>
      <c r="E34" s="1">
        <v>45043</v>
      </c>
    </row>
    <row r="35" spans="1:5" x14ac:dyDescent="0.3">
      <c r="A35" t="s">
        <v>86</v>
      </c>
      <c r="B35" t="s">
        <v>647</v>
      </c>
      <c r="C35" t="s">
        <v>648</v>
      </c>
      <c r="D35" t="s">
        <v>592</v>
      </c>
      <c r="E35" s="1">
        <v>44967</v>
      </c>
    </row>
    <row r="36" spans="1:5" x14ac:dyDescent="0.3">
      <c r="A36" t="s">
        <v>184</v>
      </c>
      <c r="B36" t="s">
        <v>649</v>
      </c>
      <c r="C36" t="s">
        <v>650</v>
      </c>
      <c r="D36" t="s">
        <v>580</v>
      </c>
      <c r="E36" s="1">
        <v>44978</v>
      </c>
    </row>
    <row r="37" spans="1:5" x14ac:dyDescent="0.3">
      <c r="A37" t="s">
        <v>219</v>
      </c>
      <c r="B37" t="s">
        <v>651</v>
      </c>
      <c r="C37" t="s">
        <v>652</v>
      </c>
      <c r="D37" t="s">
        <v>592</v>
      </c>
      <c r="E37" s="1">
        <v>45069</v>
      </c>
    </row>
    <row r="38" spans="1:5" x14ac:dyDescent="0.3">
      <c r="A38" t="s">
        <v>653</v>
      </c>
      <c r="B38" t="s">
        <v>654</v>
      </c>
      <c r="C38" t="s">
        <v>655</v>
      </c>
      <c r="D38" t="s">
        <v>592</v>
      </c>
      <c r="E38" s="1">
        <v>45252</v>
      </c>
    </row>
    <row r="39" spans="1:5" x14ac:dyDescent="0.3">
      <c r="A39" t="s">
        <v>30</v>
      </c>
      <c r="B39" t="s">
        <v>656</v>
      </c>
      <c r="C39" t="s">
        <v>657</v>
      </c>
      <c r="D39" t="s">
        <v>592</v>
      </c>
      <c r="E39" s="1">
        <v>45010</v>
      </c>
    </row>
    <row r="40" spans="1:5" x14ac:dyDescent="0.3">
      <c r="A40" t="s">
        <v>385</v>
      </c>
      <c r="B40" t="s">
        <v>658</v>
      </c>
      <c r="C40" t="s">
        <v>659</v>
      </c>
      <c r="D40" t="s">
        <v>592</v>
      </c>
      <c r="E40" s="1">
        <v>45108</v>
      </c>
    </row>
    <row r="41" spans="1:5" x14ac:dyDescent="0.3">
      <c r="A41" t="s">
        <v>366</v>
      </c>
      <c r="B41" t="s">
        <v>660</v>
      </c>
      <c r="C41" t="s">
        <v>661</v>
      </c>
      <c r="D41" t="s">
        <v>580</v>
      </c>
      <c r="E41" s="1">
        <v>45270</v>
      </c>
    </row>
    <row r="42" spans="1:5" x14ac:dyDescent="0.3">
      <c r="A42" t="s">
        <v>42</v>
      </c>
      <c r="B42" t="s">
        <v>662</v>
      </c>
      <c r="C42" t="s">
        <v>663</v>
      </c>
      <c r="D42" t="s">
        <v>592</v>
      </c>
      <c r="E42" s="1">
        <v>45286</v>
      </c>
    </row>
    <row r="43" spans="1:5" x14ac:dyDescent="0.3">
      <c r="A43" t="s">
        <v>134</v>
      </c>
      <c r="B43" t="s">
        <v>664</v>
      </c>
      <c r="C43" t="s">
        <v>665</v>
      </c>
      <c r="D43" t="s">
        <v>577</v>
      </c>
      <c r="E43" s="1">
        <v>45258</v>
      </c>
    </row>
    <row r="44" spans="1:5" x14ac:dyDescent="0.3">
      <c r="A44" t="s">
        <v>54</v>
      </c>
      <c r="B44" t="s">
        <v>666</v>
      </c>
      <c r="C44" t="s">
        <v>667</v>
      </c>
      <c r="D44" t="s">
        <v>580</v>
      </c>
      <c r="E44" s="1">
        <v>45238</v>
      </c>
    </row>
    <row r="45" spans="1:5" x14ac:dyDescent="0.3">
      <c r="A45" t="s">
        <v>375</v>
      </c>
      <c r="B45" t="s">
        <v>668</v>
      </c>
      <c r="C45" t="s">
        <v>669</v>
      </c>
      <c r="D45" t="s">
        <v>577</v>
      </c>
      <c r="E45" s="1">
        <v>45014</v>
      </c>
    </row>
    <row r="46" spans="1:5" x14ac:dyDescent="0.3">
      <c r="A46" t="s">
        <v>266</v>
      </c>
      <c r="B46" t="s">
        <v>670</v>
      </c>
      <c r="C46" t="s">
        <v>671</v>
      </c>
      <c r="D46" t="s">
        <v>599</v>
      </c>
      <c r="E46" s="1">
        <v>45052</v>
      </c>
    </row>
    <row r="47" spans="1:5" x14ac:dyDescent="0.3">
      <c r="A47" t="s">
        <v>222</v>
      </c>
      <c r="B47" t="s">
        <v>672</v>
      </c>
      <c r="C47" t="s">
        <v>673</v>
      </c>
      <c r="D47" t="s">
        <v>580</v>
      </c>
      <c r="E47" s="1">
        <v>45163</v>
      </c>
    </row>
    <row r="48" spans="1:5" x14ac:dyDescent="0.3">
      <c r="A48" t="s">
        <v>243</v>
      </c>
      <c r="B48" t="s">
        <v>674</v>
      </c>
      <c r="C48" t="s">
        <v>675</v>
      </c>
      <c r="D48" t="s">
        <v>592</v>
      </c>
      <c r="E48" s="1">
        <v>45065</v>
      </c>
    </row>
    <row r="49" spans="1:5" x14ac:dyDescent="0.3">
      <c r="A49" t="s">
        <v>210</v>
      </c>
      <c r="B49" t="s">
        <v>676</v>
      </c>
      <c r="C49" t="s">
        <v>677</v>
      </c>
      <c r="D49" t="s">
        <v>577</v>
      </c>
      <c r="E49" s="1">
        <v>45279</v>
      </c>
    </row>
    <row r="50" spans="1:5" x14ac:dyDescent="0.3">
      <c r="A50" t="s">
        <v>56</v>
      </c>
      <c r="B50" t="s">
        <v>678</v>
      </c>
      <c r="C50" t="s">
        <v>679</v>
      </c>
      <c r="D50" t="s">
        <v>599</v>
      </c>
      <c r="E50" s="1">
        <v>45039</v>
      </c>
    </row>
    <row r="51" spans="1:5" x14ac:dyDescent="0.3">
      <c r="A51" t="s">
        <v>121</v>
      </c>
      <c r="B51" t="s">
        <v>680</v>
      </c>
      <c r="C51" t="s">
        <v>681</v>
      </c>
      <c r="D51" t="s">
        <v>577</v>
      </c>
      <c r="E51" s="1">
        <v>45093</v>
      </c>
    </row>
    <row r="52" spans="1:5" x14ac:dyDescent="0.3">
      <c r="A52" t="s">
        <v>320</v>
      </c>
      <c r="B52" t="s">
        <v>682</v>
      </c>
      <c r="C52" t="s">
        <v>683</v>
      </c>
      <c r="D52" t="s">
        <v>580</v>
      </c>
      <c r="E52" s="1">
        <v>45044</v>
      </c>
    </row>
    <row r="53" spans="1:5" x14ac:dyDescent="0.3">
      <c r="A53" t="s">
        <v>522</v>
      </c>
      <c r="B53" t="s">
        <v>684</v>
      </c>
      <c r="C53" t="s">
        <v>685</v>
      </c>
      <c r="D53" t="s">
        <v>580</v>
      </c>
      <c r="E53" s="1">
        <v>45088</v>
      </c>
    </row>
    <row r="54" spans="1:5" x14ac:dyDescent="0.3">
      <c r="A54" t="s">
        <v>51</v>
      </c>
      <c r="B54" t="s">
        <v>686</v>
      </c>
      <c r="C54" t="s">
        <v>687</v>
      </c>
      <c r="D54" t="s">
        <v>592</v>
      </c>
      <c r="E54" s="1">
        <v>45064</v>
      </c>
    </row>
    <row r="55" spans="1:5" x14ac:dyDescent="0.3">
      <c r="A55" t="s">
        <v>439</v>
      </c>
      <c r="B55" t="s">
        <v>688</v>
      </c>
      <c r="C55" t="s">
        <v>689</v>
      </c>
      <c r="D55" t="s">
        <v>580</v>
      </c>
      <c r="E55" s="1">
        <v>45035</v>
      </c>
    </row>
    <row r="56" spans="1:5" x14ac:dyDescent="0.3">
      <c r="A56" t="s">
        <v>447</v>
      </c>
      <c r="B56" t="s">
        <v>690</v>
      </c>
      <c r="C56" t="s">
        <v>691</v>
      </c>
      <c r="D56" t="s">
        <v>599</v>
      </c>
      <c r="E56" s="1">
        <v>45088</v>
      </c>
    </row>
    <row r="57" spans="1:5" x14ac:dyDescent="0.3">
      <c r="A57" t="s">
        <v>84</v>
      </c>
      <c r="B57" t="s">
        <v>692</v>
      </c>
      <c r="C57" t="s">
        <v>693</v>
      </c>
      <c r="D57" t="s">
        <v>580</v>
      </c>
      <c r="E57" s="1">
        <v>45262</v>
      </c>
    </row>
    <row r="58" spans="1:5" x14ac:dyDescent="0.3">
      <c r="A58" t="s">
        <v>694</v>
      </c>
      <c r="B58" t="s">
        <v>695</v>
      </c>
      <c r="C58" t="s">
        <v>696</v>
      </c>
      <c r="D58" t="s">
        <v>592</v>
      </c>
      <c r="E58" s="1">
        <v>45129</v>
      </c>
    </row>
    <row r="59" spans="1:5" x14ac:dyDescent="0.3">
      <c r="A59" t="s">
        <v>263</v>
      </c>
      <c r="B59" t="s">
        <v>697</v>
      </c>
      <c r="C59" t="s">
        <v>698</v>
      </c>
      <c r="D59" t="s">
        <v>577</v>
      </c>
      <c r="E59" s="1">
        <v>45161</v>
      </c>
    </row>
    <row r="60" spans="1:5" x14ac:dyDescent="0.3">
      <c r="A60" t="s">
        <v>119</v>
      </c>
      <c r="B60" t="s">
        <v>699</v>
      </c>
      <c r="C60" t="s">
        <v>700</v>
      </c>
      <c r="D60" t="s">
        <v>580</v>
      </c>
      <c r="E60" s="1">
        <v>45062</v>
      </c>
    </row>
    <row r="61" spans="1:5" x14ac:dyDescent="0.3">
      <c r="A61" t="s">
        <v>33</v>
      </c>
      <c r="B61" t="s">
        <v>701</v>
      </c>
      <c r="C61" t="s">
        <v>702</v>
      </c>
      <c r="D61" t="s">
        <v>580</v>
      </c>
      <c r="E61" s="1">
        <v>45053</v>
      </c>
    </row>
    <row r="62" spans="1:5" x14ac:dyDescent="0.3">
      <c r="A62" t="s">
        <v>73</v>
      </c>
      <c r="B62" t="s">
        <v>703</v>
      </c>
      <c r="C62" t="s">
        <v>704</v>
      </c>
      <c r="D62" t="s">
        <v>577</v>
      </c>
      <c r="E62" s="1">
        <v>45214</v>
      </c>
    </row>
    <row r="63" spans="1:5" x14ac:dyDescent="0.3">
      <c r="A63" t="s">
        <v>182</v>
      </c>
      <c r="B63" t="s">
        <v>705</v>
      </c>
      <c r="C63" t="s">
        <v>706</v>
      </c>
      <c r="D63" t="s">
        <v>599</v>
      </c>
      <c r="E63" s="1">
        <v>45061</v>
      </c>
    </row>
    <row r="64" spans="1:5" x14ac:dyDescent="0.3">
      <c r="A64" t="s">
        <v>217</v>
      </c>
      <c r="B64" t="s">
        <v>707</v>
      </c>
      <c r="C64" t="s">
        <v>708</v>
      </c>
      <c r="D64" t="s">
        <v>577</v>
      </c>
      <c r="E64" s="1">
        <v>45226</v>
      </c>
    </row>
    <row r="65" spans="1:5" x14ac:dyDescent="0.3">
      <c r="A65" t="s">
        <v>226</v>
      </c>
      <c r="B65" t="s">
        <v>709</v>
      </c>
      <c r="C65" t="s">
        <v>710</v>
      </c>
      <c r="D65" t="s">
        <v>592</v>
      </c>
      <c r="E65" s="1">
        <v>45225</v>
      </c>
    </row>
    <row r="66" spans="1:5" x14ac:dyDescent="0.3">
      <c r="A66" t="s">
        <v>711</v>
      </c>
      <c r="B66" t="s">
        <v>712</v>
      </c>
      <c r="C66" t="s">
        <v>713</v>
      </c>
      <c r="D66" t="s">
        <v>592</v>
      </c>
      <c r="E66" s="1">
        <v>45112</v>
      </c>
    </row>
    <row r="67" spans="1:5" x14ac:dyDescent="0.3">
      <c r="A67" t="s">
        <v>153</v>
      </c>
      <c r="B67" t="s">
        <v>714</v>
      </c>
      <c r="C67" t="s">
        <v>715</v>
      </c>
      <c r="D67" t="s">
        <v>580</v>
      </c>
      <c r="E67" s="1">
        <v>44997</v>
      </c>
    </row>
    <row r="68" spans="1:5" x14ac:dyDescent="0.3">
      <c r="A68" t="s">
        <v>272</v>
      </c>
      <c r="B68" t="s">
        <v>716</v>
      </c>
      <c r="C68" t="s">
        <v>717</v>
      </c>
      <c r="D68" t="s">
        <v>599</v>
      </c>
      <c r="E68" s="1">
        <v>45179</v>
      </c>
    </row>
    <row r="69" spans="1:5" x14ac:dyDescent="0.3">
      <c r="A69" t="s">
        <v>342</v>
      </c>
      <c r="B69" t="s">
        <v>718</v>
      </c>
      <c r="C69" t="s">
        <v>719</v>
      </c>
      <c r="D69" t="s">
        <v>580</v>
      </c>
      <c r="E69" s="1">
        <v>44951</v>
      </c>
    </row>
    <row r="70" spans="1:5" x14ac:dyDescent="0.3">
      <c r="A70" t="s">
        <v>206</v>
      </c>
      <c r="B70" t="s">
        <v>720</v>
      </c>
      <c r="C70" t="s">
        <v>721</v>
      </c>
      <c r="D70" t="s">
        <v>580</v>
      </c>
      <c r="E70" s="1">
        <v>45005</v>
      </c>
    </row>
    <row r="71" spans="1:5" x14ac:dyDescent="0.3">
      <c r="A71" t="s">
        <v>392</v>
      </c>
      <c r="B71" t="s">
        <v>722</v>
      </c>
      <c r="C71" t="s">
        <v>723</v>
      </c>
      <c r="D71" t="s">
        <v>577</v>
      </c>
      <c r="E71" s="1">
        <v>45008</v>
      </c>
    </row>
    <row r="72" spans="1:5" x14ac:dyDescent="0.3">
      <c r="A72" t="s">
        <v>62</v>
      </c>
      <c r="B72" t="s">
        <v>724</v>
      </c>
      <c r="C72" t="s">
        <v>725</v>
      </c>
      <c r="D72" t="s">
        <v>577</v>
      </c>
      <c r="E72" s="1">
        <v>45143</v>
      </c>
    </row>
    <row r="73" spans="1:5" x14ac:dyDescent="0.3">
      <c r="A73" t="s">
        <v>297</v>
      </c>
      <c r="B73" t="s">
        <v>726</v>
      </c>
      <c r="C73" t="s">
        <v>727</v>
      </c>
      <c r="D73" t="s">
        <v>599</v>
      </c>
      <c r="E73" s="1">
        <v>44959</v>
      </c>
    </row>
    <row r="74" spans="1:5" x14ac:dyDescent="0.3">
      <c r="A74" t="s">
        <v>101</v>
      </c>
      <c r="B74" t="s">
        <v>728</v>
      </c>
      <c r="C74" t="s">
        <v>729</v>
      </c>
      <c r="D74" t="s">
        <v>592</v>
      </c>
      <c r="E74" s="1">
        <v>45122</v>
      </c>
    </row>
    <row r="75" spans="1:5" x14ac:dyDescent="0.3">
      <c r="A75" t="s">
        <v>315</v>
      </c>
      <c r="B75" t="s">
        <v>730</v>
      </c>
      <c r="C75" t="s">
        <v>731</v>
      </c>
      <c r="D75" t="s">
        <v>599</v>
      </c>
      <c r="E75" s="1">
        <v>45166</v>
      </c>
    </row>
    <row r="76" spans="1:5" x14ac:dyDescent="0.3">
      <c r="A76" t="s">
        <v>151</v>
      </c>
      <c r="B76" t="s">
        <v>732</v>
      </c>
      <c r="C76" t="s">
        <v>733</v>
      </c>
      <c r="D76" t="s">
        <v>599</v>
      </c>
      <c r="E76" s="1">
        <v>45055</v>
      </c>
    </row>
    <row r="77" spans="1:5" x14ac:dyDescent="0.3">
      <c r="A77" t="s">
        <v>286</v>
      </c>
      <c r="B77" t="s">
        <v>734</v>
      </c>
      <c r="C77" t="s">
        <v>735</v>
      </c>
      <c r="D77" t="s">
        <v>599</v>
      </c>
      <c r="E77" s="1">
        <v>44932</v>
      </c>
    </row>
    <row r="78" spans="1:5" x14ac:dyDescent="0.3">
      <c r="A78" t="s">
        <v>18</v>
      </c>
      <c r="B78" t="s">
        <v>736</v>
      </c>
      <c r="C78" t="s">
        <v>737</v>
      </c>
      <c r="D78" t="s">
        <v>577</v>
      </c>
      <c r="E78" s="1">
        <v>44985</v>
      </c>
    </row>
    <row r="79" spans="1:5" x14ac:dyDescent="0.3">
      <c r="A79" t="s">
        <v>371</v>
      </c>
      <c r="B79" t="s">
        <v>738</v>
      </c>
      <c r="C79" t="s">
        <v>739</v>
      </c>
      <c r="D79" t="s">
        <v>577</v>
      </c>
      <c r="E79" s="1">
        <v>45201</v>
      </c>
    </row>
    <row r="80" spans="1:5" x14ac:dyDescent="0.3">
      <c r="A80" t="s">
        <v>167</v>
      </c>
      <c r="B80" t="s">
        <v>740</v>
      </c>
      <c r="C80" t="s">
        <v>741</v>
      </c>
      <c r="D80" t="s">
        <v>592</v>
      </c>
      <c r="E80" s="1">
        <v>45255</v>
      </c>
    </row>
    <row r="81" spans="1:5" x14ac:dyDescent="0.3">
      <c r="A81" t="s">
        <v>59</v>
      </c>
      <c r="B81" t="s">
        <v>742</v>
      </c>
      <c r="C81" t="s">
        <v>743</v>
      </c>
      <c r="D81" t="s">
        <v>592</v>
      </c>
      <c r="E81" s="1">
        <v>44984</v>
      </c>
    </row>
    <row r="82" spans="1:5" x14ac:dyDescent="0.3">
      <c r="A82" t="s">
        <v>109</v>
      </c>
      <c r="B82" t="s">
        <v>744</v>
      </c>
      <c r="C82" t="s">
        <v>745</v>
      </c>
      <c r="D82" t="s">
        <v>592</v>
      </c>
      <c r="E82" s="1">
        <v>45149</v>
      </c>
    </row>
    <row r="83" spans="1:5" x14ac:dyDescent="0.3">
      <c r="A83" t="s">
        <v>91</v>
      </c>
      <c r="B83" t="s">
        <v>746</v>
      </c>
      <c r="C83" t="s">
        <v>747</v>
      </c>
      <c r="D83" t="s">
        <v>580</v>
      </c>
      <c r="E83" s="1">
        <v>45159</v>
      </c>
    </row>
    <row r="84" spans="1:5" x14ac:dyDescent="0.3">
      <c r="A84" t="s">
        <v>65</v>
      </c>
      <c r="B84" t="s">
        <v>748</v>
      </c>
      <c r="C84" t="s">
        <v>749</v>
      </c>
      <c r="D84" t="s">
        <v>580</v>
      </c>
      <c r="E84" s="1">
        <v>45061</v>
      </c>
    </row>
    <row r="85" spans="1:5" x14ac:dyDescent="0.3">
      <c r="A85" t="s">
        <v>139</v>
      </c>
      <c r="B85" t="s">
        <v>750</v>
      </c>
      <c r="C85" t="s">
        <v>751</v>
      </c>
      <c r="D85" t="s">
        <v>599</v>
      </c>
      <c r="E85" s="1">
        <v>45018</v>
      </c>
    </row>
    <row r="86" spans="1:5" x14ac:dyDescent="0.3">
      <c r="A86" t="s">
        <v>136</v>
      </c>
      <c r="B86" t="s">
        <v>752</v>
      </c>
      <c r="C86" t="s">
        <v>753</v>
      </c>
      <c r="D86" t="s">
        <v>599</v>
      </c>
      <c r="E86" s="1">
        <v>44981</v>
      </c>
    </row>
    <row r="87" spans="1:5" x14ac:dyDescent="0.3">
      <c r="A87" t="s">
        <v>115</v>
      </c>
      <c r="B87" t="s">
        <v>754</v>
      </c>
      <c r="C87" t="s">
        <v>755</v>
      </c>
      <c r="D87" t="s">
        <v>577</v>
      </c>
      <c r="E87" s="1">
        <v>45079</v>
      </c>
    </row>
    <row r="88" spans="1:5" x14ac:dyDescent="0.3">
      <c r="A88" t="s">
        <v>193</v>
      </c>
      <c r="B88" t="s">
        <v>756</v>
      </c>
      <c r="C88" t="s">
        <v>757</v>
      </c>
      <c r="D88" t="s">
        <v>577</v>
      </c>
      <c r="E88" s="1">
        <v>45186</v>
      </c>
    </row>
    <row r="89" spans="1:5" x14ac:dyDescent="0.3">
      <c r="A89" t="s">
        <v>190</v>
      </c>
      <c r="B89" t="s">
        <v>758</v>
      </c>
      <c r="C89" t="s">
        <v>759</v>
      </c>
      <c r="D89" t="s">
        <v>599</v>
      </c>
      <c r="E89" s="1">
        <v>45028</v>
      </c>
    </row>
    <row r="90" spans="1:5" x14ac:dyDescent="0.3">
      <c r="A90" t="s">
        <v>93</v>
      </c>
      <c r="B90" t="s">
        <v>760</v>
      </c>
      <c r="C90" t="s">
        <v>761</v>
      </c>
      <c r="D90" t="s">
        <v>580</v>
      </c>
      <c r="E90" s="1">
        <v>45118</v>
      </c>
    </row>
    <row r="91" spans="1:5" x14ac:dyDescent="0.3">
      <c r="A91" t="s">
        <v>459</v>
      </c>
      <c r="B91" t="s">
        <v>762</v>
      </c>
      <c r="C91" t="s">
        <v>763</v>
      </c>
      <c r="D91" t="s">
        <v>580</v>
      </c>
      <c r="E91" s="1">
        <v>45203</v>
      </c>
    </row>
    <row r="92" spans="1:5" x14ac:dyDescent="0.3">
      <c r="A92" t="s">
        <v>21</v>
      </c>
      <c r="B92" t="s">
        <v>764</v>
      </c>
      <c r="C92" t="s">
        <v>765</v>
      </c>
      <c r="D92" t="s">
        <v>599</v>
      </c>
      <c r="E92" s="1">
        <v>44927</v>
      </c>
    </row>
    <row r="93" spans="1:5" x14ac:dyDescent="0.3">
      <c r="A93" t="s">
        <v>99</v>
      </c>
      <c r="B93" t="s">
        <v>766</v>
      </c>
      <c r="C93" t="s">
        <v>767</v>
      </c>
      <c r="D93" t="s">
        <v>599</v>
      </c>
      <c r="E93" s="1">
        <v>45092</v>
      </c>
    </row>
    <row r="94" spans="1:5" x14ac:dyDescent="0.3">
      <c r="A94" t="s">
        <v>323</v>
      </c>
      <c r="B94" t="s">
        <v>768</v>
      </c>
      <c r="C94" t="s">
        <v>769</v>
      </c>
      <c r="D94" t="s">
        <v>592</v>
      </c>
      <c r="E94" s="1">
        <v>44936</v>
      </c>
    </row>
    <row r="95" spans="1:5" x14ac:dyDescent="0.3">
      <c r="A95" t="s">
        <v>196</v>
      </c>
      <c r="B95" t="s">
        <v>770</v>
      </c>
      <c r="C95" t="s">
        <v>771</v>
      </c>
      <c r="D95" t="s">
        <v>580</v>
      </c>
      <c r="E95" s="1">
        <v>45112</v>
      </c>
    </row>
    <row r="96" spans="1:5" x14ac:dyDescent="0.3">
      <c r="A96" t="s">
        <v>404</v>
      </c>
      <c r="B96" t="s">
        <v>772</v>
      </c>
      <c r="C96" t="s">
        <v>773</v>
      </c>
      <c r="D96" t="s">
        <v>592</v>
      </c>
      <c r="E96" s="1">
        <v>45049</v>
      </c>
    </row>
    <row r="97" spans="1:5" x14ac:dyDescent="0.3">
      <c r="A97" t="s">
        <v>128</v>
      </c>
      <c r="B97" t="s">
        <v>774</v>
      </c>
      <c r="C97" t="s">
        <v>775</v>
      </c>
      <c r="D97" t="s">
        <v>580</v>
      </c>
      <c r="E97" s="1">
        <v>45050</v>
      </c>
    </row>
    <row r="98" spans="1:5" x14ac:dyDescent="0.3">
      <c r="A98" t="s">
        <v>24</v>
      </c>
      <c r="B98" t="s">
        <v>776</v>
      </c>
      <c r="C98" t="s">
        <v>777</v>
      </c>
      <c r="D98" t="s">
        <v>599</v>
      </c>
      <c r="E98" s="1">
        <v>44967</v>
      </c>
    </row>
    <row r="99" spans="1:5" x14ac:dyDescent="0.3">
      <c r="A99" t="s">
        <v>88</v>
      </c>
      <c r="B99" t="s">
        <v>778</v>
      </c>
      <c r="C99" t="s">
        <v>779</v>
      </c>
      <c r="D99" t="s">
        <v>580</v>
      </c>
      <c r="E99" s="1">
        <v>45175</v>
      </c>
    </row>
    <row r="100" spans="1:5" x14ac:dyDescent="0.3">
      <c r="A100" t="s">
        <v>103</v>
      </c>
      <c r="B100" t="s">
        <v>780</v>
      </c>
      <c r="C100" t="s">
        <v>781</v>
      </c>
      <c r="D100" t="s">
        <v>580</v>
      </c>
      <c r="E100" s="1">
        <v>45199</v>
      </c>
    </row>
    <row r="101" spans="1:5" x14ac:dyDescent="0.3">
      <c r="A101" t="s">
        <v>113</v>
      </c>
      <c r="B101" t="s">
        <v>782</v>
      </c>
      <c r="C101" t="s">
        <v>783</v>
      </c>
      <c r="D101" t="s">
        <v>580</v>
      </c>
      <c r="E101" s="1">
        <v>44992</v>
      </c>
    </row>
    <row r="102" spans="1:5" x14ac:dyDescent="0.3">
      <c r="A102" t="s">
        <v>149</v>
      </c>
      <c r="B102" t="s">
        <v>784</v>
      </c>
      <c r="C102" t="s">
        <v>785</v>
      </c>
      <c r="D102" t="s">
        <v>577</v>
      </c>
      <c r="E102" s="1">
        <v>45170</v>
      </c>
    </row>
    <row r="103" spans="1:5" x14ac:dyDescent="0.3">
      <c r="A103" t="s">
        <v>70</v>
      </c>
      <c r="B103" t="s">
        <v>786</v>
      </c>
      <c r="C103" t="s">
        <v>787</v>
      </c>
      <c r="D103" t="s">
        <v>599</v>
      </c>
      <c r="E103" s="1">
        <v>45011</v>
      </c>
    </row>
    <row r="104" spans="1:5" x14ac:dyDescent="0.3">
      <c r="A104" t="s">
        <v>310</v>
      </c>
      <c r="B104" t="s">
        <v>788</v>
      </c>
      <c r="C104" t="s">
        <v>789</v>
      </c>
      <c r="D104" t="s">
        <v>592</v>
      </c>
      <c r="E104" s="1">
        <v>45197</v>
      </c>
    </row>
    <row r="105" spans="1:5" x14ac:dyDescent="0.3">
      <c r="A105" t="s">
        <v>75</v>
      </c>
      <c r="B105" t="s">
        <v>790</v>
      </c>
      <c r="C105" t="s">
        <v>791</v>
      </c>
      <c r="D105" t="s">
        <v>599</v>
      </c>
      <c r="E105" s="1">
        <v>45143</v>
      </c>
    </row>
    <row r="106" spans="1:5" x14ac:dyDescent="0.3">
      <c r="A106" t="s">
        <v>246</v>
      </c>
      <c r="B106" t="s">
        <v>792</v>
      </c>
      <c r="C106" t="s">
        <v>793</v>
      </c>
      <c r="D106" t="s">
        <v>580</v>
      </c>
      <c r="E106" s="1">
        <v>45203</v>
      </c>
    </row>
    <row r="107" spans="1:5" x14ac:dyDescent="0.3">
      <c r="A107" t="s">
        <v>230</v>
      </c>
      <c r="B107" t="s">
        <v>794</v>
      </c>
      <c r="C107" t="s">
        <v>795</v>
      </c>
      <c r="D107" t="s">
        <v>577</v>
      </c>
      <c r="E107" s="1">
        <v>45280</v>
      </c>
    </row>
    <row r="108" spans="1:5" x14ac:dyDescent="0.3">
      <c r="A108" t="s">
        <v>188</v>
      </c>
      <c r="B108" t="s">
        <v>796</v>
      </c>
      <c r="C108" t="s">
        <v>797</v>
      </c>
      <c r="D108" t="s">
        <v>580</v>
      </c>
      <c r="E108" s="1">
        <v>45292</v>
      </c>
    </row>
    <row r="109" spans="1:5" x14ac:dyDescent="0.3">
      <c r="A109" t="s">
        <v>444</v>
      </c>
      <c r="B109" t="s">
        <v>798</v>
      </c>
      <c r="C109" t="s">
        <v>799</v>
      </c>
      <c r="D109" t="s">
        <v>592</v>
      </c>
      <c r="E109" s="1">
        <v>45131</v>
      </c>
    </row>
    <row r="110" spans="1:5" x14ac:dyDescent="0.3">
      <c r="A110" t="s">
        <v>396</v>
      </c>
      <c r="B110" t="s">
        <v>800</v>
      </c>
      <c r="C110" t="s">
        <v>801</v>
      </c>
      <c r="D110" t="s">
        <v>577</v>
      </c>
      <c r="E110" s="1">
        <v>45259</v>
      </c>
    </row>
    <row r="111" spans="1:5" x14ac:dyDescent="0.3">
      <c r="A111" t="s">
        <v>45</v>
      </c>
      <c r="B111" t="s">
        <v>802</v>
      </c>
      <c r="C111" t="s">
        <v>803</v>
      </c>
      <c r="D111" t="s">
        <v>592</v>
      </c>
      <c r="E111" s="1">
        <v>45151</v>
      </c>
    </row>
    <row r="112" spans="1:5" x14ac:dyDescent="0.3">
      <c r="A112" t="s">
        <v>180</v>
      </c>
      <c r="B112" t="s">
        <v>804</v>
      </c>
      <c r="C112" t="s">
        <v>805</v>
      </c>
      <c r="D112" t="s">
        <v>599</v>
      </c>
      <c r="E112" s="1">
        <v>45158</v>
      </c>
    </row>
    <row r="113" spans="1:5" x14ac:dyDescent="0.3">
      <c r="A113" t="s">
        <v>305</v>
      </c>
      <c r="B113" t="s">
        <v>806</v>
      </c>
      <c r="C113" t="s">
        <v>807</v>
      </c>
      <c r="D113" t="s">
        <v>580</v>
      </c>
      <c r="E113" s="1">
        <v>45053</v>
      </c>
    </row>
    <row r="114" spans="1:5" x14ac:dyDescent="0.3">
      <c r="A114" t="s">
        <v>175</v>
      </c>
      <c r="B114" t="s">
        <v>808</v>
      </c>
      <c r="C114" t="s">
        <v>809</v>
      </c>
      <c r="D114" t="s">
        <v>580</v>
      </c>
      <c r="E114" s="1">
        <v>44959</v>
      </c>
    </row>
    <row r="115" spans="1:5" x14ac:dyDescent="0.3">
      <c r="A115" t="s">
        <v>255</v>
      </c>
      <c r="B115" t="s">
        <v>810</v>
      </c>
      <c r="C115" t="s">
        <v>811</v>
      </c>
      <c r="D115" t="s">
        <v>592</v>
      </c>
      <c r="E115" s="1">
        <v>44937</v>
      </c>
    </row>
    <row r="116" spans="1:5" x14ac:dyDescent="0.3">
      <c r="A116" t="s">
        <v>15</v>
      </c>
      <c r="B116" t="s">
        <v>812</v>
      </c>
      <c r="C116" t="s">
        <v>813</v>
      </c>
      <c r="D116" t="s">
        <v>599</v>
      </c>
      <c r="E116" s="1">
        <v>45210</v>
      </c>
    </row>
    <row r="117" spans="1:5" x14ac:dyDescent="0.3">
      <c r="A117" t="s">
        <v>124</v>
      </c>
      <c r="B117" t="s">
        <v>814</v>
      </c>
      <c r="C117" t="s">
        <v>815</v>
      </c>
      <c r="D117" t="s">
        <v>580</v>
      </c>
      <c r="E117" s="1">
        <v>45228</v>
      </c>
    </row>
    <row r="118" spans="1:5" x14ac:dyDescent="0.3">
      <c r="A118" t="s">
        <v>399</v>
      </c>
      <c r="B118" t="s">
        <v>816</v>
      </c>
      <c r="C118" t="s">
        <v>817</v>
      </c>
      <c r="D118" t="s">
        <v>580</v>
      </c>
      <c r="E118" s="1">
        <v>44930</v>
      </c>
    </row>
    <row r="119" spans="1:5" x14ac:dyDescent="0.3">
      <c r="A119" t="s">
        <v>326</v>
      </c>
      <c r="B119" t="s">
        <v>818</v>
      </c>
      <c r="C119" t="s">
        <v>819</v>
      </c>
      <c r="D119" t="s">
        <v>580</v>
      </c>
      <c r="E119" s="1">
        <v>45289</v>
      </c>
    </row>
    <row r="120" spans="1:5" x14ac:dyDescent="0.3">
      <c r="A120" t="s">
        <v>241</v>
      </c>
      <c r="B120" t="s">
        <v>820</v>
      </c>
      <c r="C120" t="s">
        <v>821</v>
      </c>
      <c r="D120" t="s">
        <v>577</v>
      </c>
      <c r="E120" s="1">
        <v>44957</v>
      </c>
    </row>
    <row r="121" spans="1:5" x14ac:dyDescent="0.3">
      <c r="A121" t="s">
        <v>307</v>
      </c>
      <c r="B121" t="s">
        <v>822</v>
      </c>
      <c r="C121" t="s">
        <v>823</v>
      </c>
      <c r="D121" t="s">
        <v>580</v>
      </c>
      <c r="E121" s="1">
        <v>44961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9DD1A-40AA-4E8E-839C-6EAD2B29D892}">
  <dimension ref="A3:B9"/>
  <sheetViews>
    <sheetView topLeftCell="B1" workbookViewId="0">
      <selection activeCell="F31" sqref="F31"/>
    </sheetView>
  </sheetViews>
  <sheetFormatPr defaultRowHeight="14.4" x14ac:dyDescent="0.3"/>
  <cols>
    <col min="1" max="1" width="12.44140625" bestFit="1" customWidth="1"/>
    <col min="2" max="2" width="18.33203125" bestFit="1" customWidth="1"/>
  </cols>
  <sheetData>
    <row r="3" spans="1:2" x14ac:dyDescent="0.3">
      <c r="A3" s="4" t="s">
        <v>824</v>
      </c>
      <c r="B3" t="s">
        <v>825</v>
      </c>
    </row>
    <row r="4" spans="1:2" x14ac:dyDescent="0.3">
      <c r="A4" s="5" t="s">
        <v>540</v>
      </c>
      <c r="B4" s="3">
        <v>49960.629999999976</v>
      </c>
    </row>
    <row r="5" spans="1:2" x14ac:dyDescent="0.3">
      <c r="A5" s="5" t="s">
        <v>535</v>
      </c>
      <c r="B5" s="3">
        <v>37792.22</v>
      </c>
    </row>
    <row r="6" spans="1:2" x14ac:dyDescent="0.3">
      <c r="A6" s="5" t="s">
        <v>530</v>
      </c>
      <c r="B6" s="3">
        <v>74267.189999999973</v>
      </c>
    </row>
    <row r="7" spans="1:2" x14ac:dyDescent="0.3">
      <c r="A7" s="5" t="s">
        <v>533</v>
      </c>
      <c r="B7" s="3">
        <v>42451.150000000009</v>
      </c>
    </row>
    <row r="8" spans="1:2" x14ac:dyDescent="0.3">
      <c r="A8" s="5" t="s">
        <v>537</v>
      </c>
      <c r="B8" s="3">
        <v>44843.459999999977</v>
      </c>
    </row>
    <row r="9" spans="1:2" x14ac:dyDescent="0.3">
      <c r="A9" s="5" t="s">
        <v>826</v>
      </c>
      <c r="B9" s="3">
        <v>249314.64999999991</v>
      </c>
    </row>
  </sheetData>
  <pageMargins left="0.7" right="0.7" top="0.75" bottom="0.75" header="0.3" footer="0.3"/>
  <pageSetup orientation="portrait" horizontalDpi="300" verticalDpi="3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03C0-6608-4F84-82ED-661C41A45CCB}">
  <dimension ref="A3:B8"/>
  <sheetViews>
    <sheetView workbookViewId="0">
      <selection activeCell="A3" sqref="A3"/>
    </sheetView>
  </sheetViews>
  <sheetFormatPr defaultRowHeight="14.4" x14ac:dyDescent="0.3"/>
  <cols>
    <col min="1" max="1" width="13.5546875" bestFit="1" customWidth="1"/>
    <col min="2" max="2" width="18.33203125" bestFit="1" customWidth="1"/>
  </cols>
  <sheetData>
    <row r="3" spans="1:2" x14ac:dyDescent="0.3">
      <c r="A3" s="4" t="s">
        <v>824</v>
      </c>
      <c r="B3" s="3" t="s">
        <v>825</v>
      </c>
    </row>
    <row r="4" spans="1:2" x14ac:dyDescent="0.3">
      <c r="A4" s="5" t="s">
        <v>599</v>
      </c>
      <c r="B4" s="3">
        <v>57774.679999999978</v>
      </c>
    </row>
    <row r="5" spans="1:2" x14ac:dyDescent="0.3">
      <c r="A5" s="5" t="s">
        <v>577</v>
      </c>
      <c r="B5" s="3">
        <v>51405.479999999996</v>
      </c>
    </row>
    <row r="6" spans="1:2" x14ac:dyDescent="0.3">
      <c r="A6" s="5" t="s">
        <v>580</v>
      </c>
      <c r="B6" s="3">
        <v>86879.589999999982</v>
      </c>
    </row>
    <row r="7" spans="1:2" x14ac:dyDescent="0.3">
      <c r="A7" s="5" t="s">
        <v>592</v>
      </c>
      <c r="B7" s="3">
        <v>53254.900000000009</v>
      </c>
    </row>
    <row r="8" spans="1:2" x14ac:dyDescent="0.3">
      <c r="A8" s="5" t="s">
        <v>826</v>
      </c>
      <c r="B8" s="3">
        <v>249314.64999999997</v>
      </c>
    </row>
  </sheetData>
  <pageMargins left="0.7" right="0.7" top="0.75" bottom="0.75" header="0.3" footer="0.3"/>
  <pageSetup orientation="portrait" horizontalDpi="300" verticalDpi="3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03DA-B12B-4E25-B23D-1141968FA679}">
  <dimension ref="A3:B10"/>
  <sheetViews>
    <sheetView zoomScale="90" zoomScaleNormal="90" workbookViewId="0">
      <selection activeCell="A5" sqref="A5"/>
    </sheetView>
  </sheetViews>
  <sheetFormatPr defaultRowHeight="14.4" x14ac:dyDescent="0.3"/>
  <cols>
    <col min="1" max="1" width="13.5546875" bestFit="1" customWidth="1"/>
    <col min="2" max="2" width="19.33203125" bestFit="1" customWidth="1"/>
  </cols>
  <sheetData>
    <row r="3" spans="1:2" x14ac:dyDescent="0.3">
      <c r="A3" s="4" t="s">
        <v>824</v>
      </c>
      <c r="B3" t="s">
        <v>825</v>
      </c>
    </row>
    <row r="4" spans="1:2" x14ac:dyDescent="0.3">
      <c r="A4" s="5" t="s">
        <v>827</v>
      </c>
      <c r="B4" s="3">
        <v>38121.719999999994</v>
      </c>
    </row>
    <row r="5" spans="1:2" x14ac:dyDescent="0.3">
      <c r="A5" s="5" t="s">
        <v>828</v>
      </c>
      <c r="B5" s="3">
        <v>36272.57</v>
      </c>
    </row>
    <row r="6" spans="1:2" x14ac:dyDescent="0.3">
      <c r="A6" s="5" t="s">
        <v>829</v>
      </c>
      <c r="B6" s="3">
        <v>52091.569999999963</v>
      </c>
    </row>
    <row r="7" spans="1:2" x14ac:dyDescent="0.3">
      <c r="A7" s="5" t="s">
        <v>830</v>
      </c>
      <c r="B7" s="3">
        <v>37290.869999999995</v>
      </c>
    </row>
    <row r="8" spans="1:2" x14ac:dyDescent="0.3">
      <c r="A8" s="5" t="s">
        <v>831</v>
      </c>
      <c r="B8" s="3">
        <v>33711.56</v>
      </c>
    </row>
    <row r="9" spans="1:2" x14ac:dyDescent="0.3">
      <c r="A9" s="5" t="s">
        <v>832</v>
      </c>
      <c r="B9" s="3">
        <v>51826.359999999993</v>
      </c>
    </row>
    <row r="10" spans="1:2" x14ac:dyDescent="0.3">
      <c r="A10" s="5" t="s">
        <v>826</v>
      </c>
      <c r="B10" s="3">
        <v>249314.64999999994</v>
      </c>
    </row>
  </sheetData>
  <pageMargins left="0.7" right="0.7" top="0.75" bottom="0.75" header="0.3" footer="0.3"/>
  <pageSetup orientation="portrait" horizontalDpi="300" verticalDpi="30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7E5CC-48DB-461B-9F39-F51773BF1953}">
  <dimension ref="A3:B11"/>
  <sheetViews>
    <sheetView workbookViewId="0">
      <selection activeCell="A3" sqref="A3"/>
    </sheetView>
  </sheetViews>
  <sheetFormatPr defaultRowHeight="14.4" x14ac:dyDescent="0.3"/>
  <cols>
    <col min="1" max="1" width="12.44140625" bestFit="1" customWidth="1"/>
    <col min="2" max="2" width="18.33203125" bestFit="1" customWidth="1"/>
  </cols>
  <sheetData>
    <row r="3" spans="1:2" x14ac:dyDescent="0.3">
      <c r="A3" s="4" t="s">
        <v>824</v>
      </c>
      <c r="B3" s="3" t="s">
        <v>825</v>
      </c>
    </row>
    <row r="4" spans="1:2" x14ac:dyDescent="0.3">
      <c r="A4" s="5" t="s">
        <v>833</v>
      </c>
      <c r="B4" s="3">
        <v>36665.689999999995</v>
      </c>
    </row>
    <row r="5" spans="1:2" x14ac:dyDescent="0.3">
      <c r="A5" s="5" t="s">
        <v>834</v>
      </c>
      <c r="B5" s="3">
        <v>46610.439999999988</v>
      </c>
    </row>
    <row r="6" spans="1:2" x14ac:dyDescent="0.3">
      <c r="A6" s="5" t="s">
        <v>835</v>
      </c>
      <c r="B6" s="3">
        <v>22192.230000000007</v>
      </c>
    </row>
    <row r="7" spans="1:2" x14ac:dyDescent="0.3">
      <c r="A7" s="5" t="s">
        <v>836</v>
      </c>
      <c r="B7" s="3">
        <v>42860.859999999993</v>
      </c>
    </row>
    <row r="8" spans="1:2" x14ac:dyDescent="0.3">
      <c r="A8" s="5" t="s">
        <v>837</v>
      </c>
      <c r="B8" s="3">
        <v>36051.000000000007</v>
      </c>
    </row>
    <row r="9" spans="1:2" x14ac:dyDescent="0.3">
      <c r="A9" s="5" t="s">
        <v>838</v>
      </c>
      <c r="B9" s="3">
        <v>34850.770000000004</v>
      </c>
    </row>
    <row r="10" spans="1:2" x14ac:dyDescent="0.3">
      <c r="A10" s="5" t="s">
        <v>839</v>
      </c>
      <c r="B10" s="3">
        <v>30083.659999999985</v>
      </c>
    </row>
    <row r="11" spans="1:2" x14ac:dyDescent="0.3">
      <c r="A11" s="5" t="s">
        <v>826</v>
      </c>
      <c r="B11" s="3">
        <v>249314.64999999997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3551-1A89-42F1-89BB-904A17F6F2CD}">
  <dimension ref="A3:B9"/>
  <sheetViews>
    <sheetView workbookViewId="0">
      <selection activeCell="F20" sqref="F20"/>
    </sheetView>
  </sheetViews>
  <sheetFormatPr defaultRowHeight="14.4" x14ac:dyDescent="0.3"/>
  <cols>
    <col min="1" max="1" width="12.44140625" bestFit="1" customWidth="1"/>
    <col min="2" max="2" width="14.33203125" bestFit="1" customWidth="1"/>
  </cols>
  <sheetData>
    <row r="3" spans="1:2" x14ac:dyDescent="0.3">
      <c r="A3" s="4" t="s">
        <v>824</v>
      </c>
      <c r="B3" t="s">
        <v>840</v>
      </c>
    </row>
    <row r="4" spans="1:2" x14ac:dyDescent="0.3">
      <c r="A4" s="5" t="s">
        <v>540</v>
      </c>
      <c r="B4">
        <v>185</v>
      </c>
    </row>
    <row r="5" spans="1:2" x14ac:dyDescent="0.3">
      <c r="A5" s="5" t="s">
        <v>535</v>
      </c>
      <c r="B5">
        <v>193</v>
      </c>
    </row>
    <row r="6" spans="1:2" x14ac:dyDescent="0.3">
      <c r="A6" s="5" t="s">
        <v>530</v>
      </c>
      <c r="B6">
        <v>288</v>
      </c>
    </row>
    <row r="7" spans="1:2" x14ac:dyDescent="0.3">
      <c r="A7" s="5" t="s">
        <v>533</v>
      </c>
      <c r="B7">
        <v>179</v>
      </c>
    </row>
    <row r="8" spans="1:2" x14ac:dyDescent="0.3">
      <c r="A8" s="5" t="s">
        <v>537</v>
      </c>
      <c r="B8">
        <v>235</v>
      </c>
    </row>
    <row r="9" spans="1:2" x14ac:dyDescent="0.3">
      <c r="A9" s="5" t="s">
        <v>826</v>
      </c>
      <c r="B9">
        <v>1080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9B76-E6FB-4C0F-A7E1-21EE41C984F4}">
  <dimension ref="A3:B8"/>
  <sheetViews>
    <sheetView workbookViewId="0">
      <selection activeCell="B26" sqref="B26"/>
    </sheetView>
  </sheetViews>
  <sheetFormatPr defaultRowHeight="14.4" x14ac:dyDescent="0.3"/>
  <cols>
    <col min="1" max="1" width="13.5546875" bestFit="1" customWidth="1"/>
    <col min="2" max="3" width="14.33203125" bestFit="1" customWidth="1"/>
  </cols>
  <sheetData>
    <row r="3" spans="1:2" x14ac:dyDescent="0.3">
      <c r="A3" s="4" t="s">
        <v>824</v>
      </c>
      <c r="B3" t="s">
        <v>840</v>
      </c>
    </row>
    <row r="4" spans="1:2" x14ac:dyDescent="0.3">
      <c r="A4" s="5" t="s">
        <v>599</v>
      </c>
      <c r="B4">
        <v>216</v>
      </c>
    </row>
    <row r="5" spans="1:2" x14ac:dyDescent="0.3">
      <c r="A5" s="5" t="s">
        <v>577</v>
      </c>
      <c r="B5">
        <v>213</v>
      </c>
    </row>
    <row r="6" spans="1:2" x14ac:dyDescent="0.3">
      <c r="A6" s="5" t="s">
        <v>580</v>
      </c>
      <c r="B6">
        <v>404</v>
      </c>
    </row>
    <row r="7" spans="1:2" x14ac:dyDescent="0.3">
      <c r="A7" s="5" t="s">
        <v>592</v>
      </c>
      <c r="B7">
        <v>247</v>
      </c>
    </row>
    <row r="8" spans="1:2" x14ac:dyDescent="0.3">
      <c r="A8" s="5" t="s">
        <v>826</v>
      </c>
      <c r="B8">
        <v>1080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D3E8A-B40E-4C03-A03B-61149C41D3BC}">
  <dimension ref="A1:R28"/>
  <sheetViews>
    <sheetView showGridLines="0" tabSelected="1" zoomScale="98" zoomScaleNormal="98" workbookViewId="0">
      <selection activeCell="N3" sqref="N3"/>
    </sheetView>
  </sheetViews>
  <sheetFormatPr defaultRowHeight="14.4" x14ac:dyDescent="0.3"/>
  <sheetData>
    <row r="1" spans="1:18" x14ac:dyDescent="0.3">
      <c r="A1" s="6" t="s">
        <v>841</v>
      </c>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6"/>
      <c r="B23" s="6"/>
      <c r="C23" s="6"/>
      <c r="D23" s="6"/>
      <c r="E23" s="6"/>
      <c r="F23" s="6"/>
      <c r="G23" s="6"/>
      <c r="H23" s="6"/>
      <c r="I23" s="6"/>
      <c r="J23" s="6"/>
      <c r="K23" s="6"/>
      <c r="L23" s="6"/>
      <c r="M23" s="6"/>
      <c r="N23" s="6"/>
      <c r="O23" s="6"/>
      <c r="P23" s="6"/>
      <c r="Q23" s="6"/>
      <c r="R23" s="6"/>
    </row>
    <row r="24" spans="1:18" x14ac:dyDescent="0.3">
      <c r="A24" s="6"/>
      <c r="B24" s="6"/>
      <c r="C24" s="6"/>
      <c r="D24" s="6"/>
      <c r="E24" s="6"/>
      <c r="F24" s="6"/>
      <c r="G24" s="6"/>
      <c r="H24" s="6"/>
      <c r="I24" s="6"/>
      <c r="J24" s="6"/>
      <c r="K24" s="6"/>
      <c r="L24" s="6"/>
      <c r="M24" s="6"/>
      <c r="N24" s="6"/>
      <c r="O24" s="6"/>
      <c r="P24" s="6"/>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A28" s="6"/>
      <c r="B28" s="6"/>
      <c r="C28" s="6"/>
      <c r="D28" s="6"/>
      <c r="E28" s="6"/>
      <c r="F28" s="6"/>
      <c r="G28" s="6"/>
      <c r="H28" s="6"/>
      <c r="I28" s="6"/>
      <c r="J28" s="6"/>
      <c r="K28" s="6"/>
      <c r="L28" s="6"/>
      <c r="M28" s="6"/>
      <c r="N28" s="6"/>
      <c r="O28" s="6"/>
      <c r="P28" s="6"/>
      <c r="Q28" s="6"/>
      <c r="R2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81E84D-24D9-4242-92E2-A395612117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vt:lpstr>
      <vt:lpstr>Products</vt:lpstr>
      <vt:lpstr>Customer_info</vt:lpstr>
      <vt:lpstr>Sheet1</vt:lpstr>
      <vt:lpstr>Sheet2</vt:lpstr>
      <vt:lpstr>Sheet3</vt:lpstr>
      <vt:lpstr>Sheet4</vt:lpstr>
      <vt:lpstr>Sheet5</vt:lpstr>
      <vt:lpstr>Sheet6</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Solomon</dc:creator>
  <cp:keywords/>
  <dc:description/>
  <cp:lastModifiedBy>Blessing Akinbile</cp:lastModifiedBy>
  <cp:revision/>
  <dcterms:created xsi:type="dcterms:W3CDTF">2025-12-31T10:28:12Z</dcterms:created>
  <dcterms:modified xsi:type="dcterms:W3CDTF">2026-01-14T17:55:22Z</dcterms:modified>
  <cp:category/>
  <cp:contentStatus/>
</cp:coreProperties>
</file>