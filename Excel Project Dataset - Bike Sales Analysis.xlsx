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defaultThemeVersion="166925"/>
  <mc:AlternateContent xmlns:mc="http://schemas.openxmlformats.org/markup-compatibility/2006">
    <mc:Choice Requires="x15">
      <x15ac:absPath xmlns:x15ac="http://schemas.microsoft.com/office/spreadsheetml/2010/11/ac" url="https://d.docs.live.net/18577cc628e90ff9/Documents/Data Portfolio/"/>
    </mc:Choice>
  </mc:AlternateContent>
  <xr:revisionPtr revIDLastSave="0" documentId="8_{8170E0EB-EDC8-4EE7-8871-13D27B9F7B64}" xr6:coauthVersionLast="47" xr6:coauthVersionMax="47" xr10:uidLastSave="{00000000-0000-0000-0000-000000000000}"/>
  <bookViews>
    <workbookView xWindow="-108" yWindow="-108" windowWidth="23256" windowHeight="13176" firstSheet="2"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4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<sst xmlns="http://schemas.openxmlformats.org/spreadsheetml/2006/main" count="16274" uniqueCount="51">
  <si>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</si>
  <si>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</si>
  <si>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</si>
  <si>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</si>
  <si>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</si>
  <si>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</si>
  <si>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</si>
  <si>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</si>
  <si>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</si>
  <si>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</si>
  <si>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</si>
  <si>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</si>
  <si>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</si>
  <si>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</si>
  <si>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</si>
  <si>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</si>
  <si>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</si>
  <si>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</si>
  <si>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</si>
  <si>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</si>
  <si>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</si>
  <si>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</si>
  <si>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</si>
  <si>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</si>
  <si>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</si>
  <si>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</si>
  <si>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</si>
  <si>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</si>
  <si>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</si>
  <si>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</si>
  <si>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</si>
  <si>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</si>
  <si>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</si>
  <si>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</si>
  <si>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</si>
  <si>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</si>
  <si>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</si>
  <si>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</si>
  <si>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</si>
  <si>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</si>
  <si>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</si>
  <si>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</si>
  <si>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</si>
  <si>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</si>
  <si>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</si>
  <si>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</si>
  <si>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than 10 miles</t>
  </si>
  <si>
    <t>Middle Age</t>
  </si>
  <si>
    <t>Old</t>
  </si>
  <si>
    <t>Adolescent</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</si>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</sst>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8" formatCode="&quot;₦&quot;#,##0"/>
    <numFmt numFmtId="171" formatCode="_-* #,##0_-;\-* #,##0_-;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5" tint="0.3999755851924192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8" fontId="0" fillId="0" borderId="0" xfId="0" applyNumberFormat="1"/>
    <xf numFmtId="0" fontId="0" fillId="0" borderId="0" xfId="0" applyNumberFormat="1"/>
    <xf numFmtId="0" fontId="0" fillId="0" borderId="0" xfId="0" pivotButton="1"/>
    <xf numFmtId="0" fontId="0" fillId="0" borderId="0" xfId="0" applyAlignment="1">
      <alignment horizontal="left"/>
    </xf>
    <xf numFmtId="171" fontId="0" fillId="0" borderId="0" xfId="0" applyNumberFormat="1"/>
    <xf numFmtId="0" fontId="0" fillId="33" borderId="0" xfId="0" applyFill="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
      <numFmt numFmtId="171" formatCode="_-* #,##0_-;\-* #,##0_-;_-* &quot;-&quot;??_-;_-@_-"/>
    </dxf>
  </dxfs>
  <tableStyles count="0" defaultTableStyle="TableStyleMedium2" defaultPivotStyle="PivotStyleLight16"/>
  <colors>
    <mruColors>
      <color rgb="FF00CCFF"/>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 Bike Sales Analysis.xlsx]Pivot Table!PivotTable1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Bike</a:t>
            </a:r>
            <a:r>
              <a:rPr lang="en-US" baseline="0"/>
              <a:t> Ownership and Income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23967084034858"/>
          <c:y val="0.22409145839692543"/>
          <c:w val="0.5750303592019339"/>
          <c:h val="0.45556244182835881"/>
        </c:manualLayout>
      </c:layout>
      <c:barChart>
        <c:barDir val="col"/>
        <c:grouping val="clustered"/>
        <c:varyColors val="0"/>
        <c:ser>
          <c:idx val="0"/>
          <c:order val="0"/>
          <c:tx>
            <c:strRef>
              <c:f>'Pivot Table'!$B$1:$B$2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Table'!$A$3:$A$5</c:f>
              <c:strCache>
                <c:ptCount val="2"/>
                <c:pt idx="0">
                  <c:v>Female</c:v>
                </c:pt>
                <c:pt idx="1">
                  <c:v>Male</c:v>
                </c:pt>
              </c:strCache>
            </c:strRef>
          </c:cat>
          <c:val>
            <c:numRef>
              <c:f>'Pivot Table'!$B$3:$B$5</c:f>
              <c:numCache>
                <c:formatCode>_-* #,##0_-;\-* #,##0_-;_-* "-"??_-;_-@_-</c:formatCode>
                <c:ptCount val="2"/>
                <c:pt idx="0">
                  <c:v>54885.496183206109</c:v>
                </c:pt>
                <c:pt idx="1">
                  <c:v>59431.818181818184</c:v>
                </c:pt>
              </c:numCache>
            </c:numRef>
          </c:val>
          <c:extLst>
            <c:ext xmlns:c16="http://schemas.microsoft.com/office/drawing/2014/chart" uri="{C3380CC4-5D6E-409C-BE32-E72D297353CC}">
              <c16:uniqueId val="{00000000-D76D-445D-B770-4E426EF937DF}"/>
            </c:ext>
          </c:extLst>
        </c:ser>
        <c:ser>
          <c:idx val="1"/>
          <c:order val="1"/>
          <c:tx>
            <c:strRef>
              <c:f>'Pivot Table'!$C$1:$C$2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Table'!$A$3:$A$5</c:f>
              <c:strCache>
                <c:ptCount val="2"/>
                <c:pt idx="0">
                  <c:v>Female</c:v>
                </c:pt>
                <c:pt idx="1">
                  <c:v>Male</c:v>
                </c:pt>
              </c:strCache>
            </c:strRef>
          </c:cat>
          <c:val>
            <c:numRef>
              <c:f>'Pivot Table'!$C$3:$C$5</c:f>
              <c:numCache>
                <c:formatCode>_-* #,##0_-;\-* #,##0_-;_-* "-"??_-;_-@_-</c:formatCode>
                <c:ptCount val="2"/>
                <c:pt idx="0">
                  <c:v>59259.259259259263</c:v>
                </c:pt>
                <c:pt idx="1">
                  <c:v>61300.813008130084</c:v>
                </c:pt>
              </c:numCache>
            </c:numRef>
          </c:val>
          <c:extLst>
            <c:ext xmlns:c16="http://schemas.microsoft.com/office/drawing/2014/chart" uri="{C3380CC4-5D6E-409C-BE32-E72D297353CC}">
              <c16:uniqueId val="{00000001-D76D-445D-B770-4E426EF937DF}"/>
            </c:ext>
          </c:extLst>
        </c:ser>
        <c:dLbls>
          <c:showLegendKey val="0"/>
          <c:showVal val="0"/>
          <c:showCatName val="0"/>
          <c:showSerName val="0"/>
          <c:showPercent val="0"/>
          <c:showBubbleSize val="0"/>
        </c:dLbls>
        <c:gapWidth val="100"/>
        <c:overlap val="-24"/>
        <c:axId val="844570176"/>
        <c:axId val="844571136"/>
      </c:barChart>
      <c:catAx>
        <c:axId val="844570176"/>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571136"/>
        <c:crosses val="autoZero"/>
        <c:auto val="1"/>
        <c:lblAlgn val="ctr"/>
        <c:lblOffset val="100"/>
        <c:noMultiLvlLbl val="0"/>
      </c:catAx>
      <c:valAx>
        <c:axId val="8445711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57017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 Bike Sales Analysis.xlsx]Pivot Table!PivotTable2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Does Distance Influence Bike Ownership?</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Table'!$C$21:$C$22</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Table'!$B$23:$B$28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107</c:v>
                </c:pt>
                <c:pt idx="1">
                  <c:v>50</c:v>
                </c:pt>
                <c:pt idx="2">
                  <c:v>37</c:v>
                </c:pt>
                <c:pt idx="3">
                  <c:v>63</c:v>
                </c:pt>
                <c:pt idx="4">
                  <c:v>50</c:v>
                </c:pt>
              </c:numCache>
            </c:numRef>
          </c:val>
          <c:smooth val="0"/>
          <c:extLst>
            <c:ext xmlns:c16="http://schemas.microsoft.com/office/drawing/2014/chart" uri="{C3380CC4-5D6E-409C-BE32-E72D297353CC}">
              <c16:uniqueId val="{00000000-E28B-484F-9898-E54EE731FF65}"/>
            </c:ext>
          </c:extLst>
        </c:ser>
        <c:ser>
          <c:idx val="1"/>
          <c:order val="1"/>
          <c:tx>
            <c:strRef>
              <c:f>'Pivot Table'!$D$21:$D$22</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Table'!$B$23:$B$28</c:f>
              <c:strCache>
                <c:ptCount val="5"/>
                <c:pt idx="0">
                  <c:v>0-1 Miles</c:v>
                </c:pt>
                <c:pt idx="1">
                  <c:v>1-2 Miles</c:v>
                </c:pt>
                <c:pt idx="2">
                  <c:v>2-5 Miles</c:v>
                </c:pt>
                <c:pt idx="3">
                  <c:v>5-10 Miles</c:v>
                </c:pt>
                <c:pt idx="4">
                  <c:v>More than 10 miles</c:v>
                </c:pt>
              </c:strCache>
            </c:strRef>
          </c:cat>
          <c:val>
            <c:numRef>
              <c:f>'Pivot Table'!$D$23:$D$28</c:f>
              <c:numCache>
                <c:formatCode>General</c:formatCode>
                <c:ptCount val="5"/>
                <c:pt idx="0">
                  <c:v>98</c:v>
                </c:pt>
                <c:pt idx="1">
                  <c:v>38</c:v>
                </c:pt>
                <c:pt idx="2">
                  <c:v>44</c:v>
                </c:pt>
                <c:pt idx="3">
                  <c:v>38</c:v>
                </c:pt>
                <c:pt idx="4">
                  <c:v>13</c:v>
                </c:pt>
              </c:numCache>
            </c:numRef>
          </c:val>
          <c:smooth val="0"/>
          <c:extLst>
            <c:ext xmlns:c16="http://schemas.microsoft.com/office/drawing/2014/chart" uri="{C3380CC4-5D6E-409C-BE32-E72D297353CC}">
              <c16:uniqueId val="{00000001-E28B-484F-9898-E54EE731FF65}"/>
            </c:ext>
          </c:extLst>
        </c:ser>
        <c:dLbls>
          <c:showLegendKey val="0"/>
          <c:showVal val="0"/>
          <c:showCatName val="0"/>
          <c:showSerName val="0"/>
          <c:showPercent val="0"/>
          <c:showBubbleSize val="0"/>
        </c:dLbls>
        <c:marker val="1"/>
        <c:smooth val="0"/>
        <c:axId val="990757328"/>
        <c:axId val="990747248"/>
      </c:lineChart>
      <c:catAx>
        <c:axId val="990757328"/>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0747248"/>
        <c:crosses val="autoZero"/>
        <c:auto val="1"/>
        <c:lblAlgn val="ctr"/>
        <c:lblOffset val="100"/>
        <c:noMultiLvlLbl val="0"/>
      </c:catAx>
      <c:valAx>
        <c:axId val="990747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0757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 Bike Sales Analysis.xlsx]Pivot Table!PivotTable3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Age and Bike Ownership</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Table'!$D$42:$D$43</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Table'!$C$44:$C$47</c:f>
              <c:strCache>
                <c:ptCount val="3"/>
                <c:pt idx="0">
                  <c:v>Adolescent</c:v>
                </c:pt>
                <c:pt idx="1">
                  <c:v>Middle Age</c:v>
                </c:pt>
                <c:pt idx="2">
                  <c:v>Old</c:v>
                </c:pt>
              </c:strCache>
            </c:strRef>
          </c:cat>
          <c:val>
            <c:numRef>
              <c:f>'Pivot Table'!$D$44:$D$47</c:f>
              <c:numCache>
                <c:formatCode>General</c:formatCode>
                <c:ptCount val="3"/>
                <c:pt idx="0">
                  <c:v>24</c:v>
                </c:pt>
                <c:pt idx="1">
                  <c:v>187</c:v>
                </c:pt>
                <c:pt idx="2">
                  <c:v>96</c:v>
                </c:pt>
              </c:numCache>
            </c:numRef>
          </c:val>
          <c:smooth val="0"/>
          <c:extLst>
            <c:ext xmlns:c16="http://schemas.microsoft.com/office/drawing/2014/chart" uri="{C3380CC4-5D6E-409C-BE32-E72D297353CC}">
              <c16:uniqueId val="{00000000-BF5E-49C3-9CCA-0E6D85335A7A}"/>
            </c:ext>
          </c:extLst>
        </c:ser>
        <c:ser>
          <c:idx val="1"/>
          <c:order val="1"/>
          <c:tx>
            <c:strRef>
              <c:f>'Pivot Table'!$E$42:$E$43</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Table'!$C$44:$C$47</c:f>
              <c:strCache>
                <c:ptCount val="3"/>
                <c:pt idx="0">
                  <c:v>Adolescent</c:v>
                </c:pt>
                <c:pt idx="1">
                  <c:v>Middle Age</c:v>
                </c:pt>
                <c:pt idx="2">
                  <c:v>Old</c:v>
                </c:pt>
              </c:strCache>
            </c:strRef>
          </c:cat>
          <c:val>
            <c:numRef>
              <c:f>'Pivot Table'!$E$44:$E$47</c:f>
              <c:numCache>
                <c:formatCode>General</c:formatCode>
                <c:ptCount val="3"/>
                <c:pt idx="0">
                  <c:v>14</c:v>
                </c:pt>
                <c:pt idx="1">
                  <c:v>185</c:v>
                </c:pt>
                <c:pt idx="2">
                  <c:v>32</c:v>
                </c:pt>
              </c:numCache>
            </c:numRef>
          </c:val>
          <c:smooth val="0"/>
          <c:extLst>
            <c:ext xmlns:c16="http://schemas.microsoft.com/office/drawing/2014/chart" uri="{C3380CC4-5D6E-409C-BE32-E72D297353CC}">
              <c16:uniqueId val="{00000001-BF5E-49C3-9CCA-0E6D85335A7A}"/>
            </c:ext>
          </c:extLst>
        </c:ser>
        <c:dLbls>
          <c:showLegendKey val="0"/>
          <c:showVal val="0"/>
          <c:showCatName val="0"/>
          <c:showSerName val="0"/>
          <c:showPercent val="0"/>
          <c:showBubbleSize val="0"/>
        </c:dLbls>
        <c:marker val="1"/>
        <c:smooth val="0"/>
        <c:axId val="1080412480"/>
        <c:axId val="1080411040"/>
      </c:lineChart>
      <c:catAx>
        <c:axId val="108041248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411040"/>
        <c:crosses val="autoZero"/>
        <c:auto val="1"/>
        <c:lblAlgn val="ctr"/>
        <c:lblOffset val="100"/>
        <c:noMultiLvlLbl val="0"/>
      </c:catAx>
      <c:valAx>
        <c:axId val="1080411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412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Project Dataset - Bike Sales Analysis.xlsx]Pivot Table!PivotTable1</c:name>
    <c:fmtId val="3"/>
  </c:pivotSource>
  <c:chart>
    <c:title>
      <c:tx>
        <c:rich>
          <a:bodyPr rot="0" spcFirstLastPara="1" vertOverflow="ellipsis" vert="horz" wrap="square" anchor="ctr" anchorCtr="1"/>
          <a:lstStyle/>
          <a:p>
            <a:pPr>
              <a:defRPr sz="1600" b="1" i="0" u="none" strike="noStrike" kern="1200" baseline="0">
                <a:solidFill>
                  <a:schemeClr val="accent2">
                    <a:lumMod val="60000"/>
                    <a:lumOff val="40000"/>
                  </a:schemeClr>
                </a:solidFill>
                <a:latin typeface="+mn-lt"/>
                <a:ea typeface="+mn-ea"/>
                <a:cs typeface="+mn-cs"/>
              </a:defRPr>
            </a:pPr>
            <a:r>
              <a:rPr lang="en-US"/>
              <a:t>Bike Ownership and Income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accent2">
                  <a:lumMod val="60000"/>
                  <a:lumOff val="40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23967084034858"/>
          <c:y val="0.22409145839692543"/>
          <c:w val="0.5750303592019339"/>
          <c:h val="0.45556244182835881"/>
        </c:manualLayout>
      </c:layout>
      <c:barChart>
        <c:barDir val="col"/>
        <c:grouping val="clustered"/>
        <c:varyColors val="0"/>
        <c:ser>
          <c:idx val="0"/>
          <c:order val="0"/>
          <c:tx>
            <c:strRef>
              <c:f>'Pivot Table'!$B$1:$B$2</c:f>
              <c:strCache>
                <c:ptCount val="1"/>
                <c:pt idx="0">
                  <c:v>No</c:v>
                </c:pt>
              </c:strCache>
            </c:strRef>
          </c:tx>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Table'!$A$3:$A$5</c:f>
              <c:strCache>
                <c:ptCount val="2"/>
                <c:pt idx="0">
                  <c:v>Female</c:v>
                </c:pt>
                <c:pt idx="1">
                  <c:v>Male</c:v>
                </c:pt>
              </c:strCache>
            </c:strRef>
          </c:cat>
          <c:val>
            <c:numRef>
              <c:f>'Pivot Table'!$B$3:$B$5</c:f>
              <c:numCache>
                <c:formatCode>_-* #,##0_-;\-* #,##0_-;_-* "-"??_-;_-@_-</c:formatCode>
                <c:ptCount val="2"/>
                <c:pt idx="0">
                  <c:v>54885.496183206109</c:v>
                </c:pt>
                <c:pt idx="1">
                  <c:v>59431.818181818184</c:v>
                </c:pt>
              </c:numCache>
            </c:numRef>
          </c:val>
          <c:extLst>
            <c:ext xmlns:c16="http://schemas.microsoft.com/office/drawing/2014/chart" uri="{C3380CC4-5D6E-409C-BE32-E72D297353CC}">
              <c16:uniqueId val="{00000000-E398-4956-8DC4-272B687265F2}"/>
            </c:ext>
          </c:extLst>
        </c:ser>
        <c:ser>
          <c:idx val="1"/>
          <c:order val="1"/>
          <c:tx>
            <c:strRef>
              <c:f>'Pivot Table'!$C$1:$C$2</c:f>
              <c:strCache>
                <c:ptCount val="1"/>
                <c:pt idx="0">
                  <c:v>Yes</c:v>
                </c:pt>
              </c:strCache>
            </c:strRef>
          </c:tx>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Table'!$A$3:$A$5</c:f>
              <c:strCache>
                <c:ptCount val="2"/>
                <c:pt idx="0">
                  <c:v>Female</c:v>
                </c:pt>
                <c:pt idx="1">
                  <c:v>Male</c:v>
                </c:pt>
              </c:strCache>
            </c:strRef>
          </c:cat>
          <c:val>
            <c:numRef>
              <c:f>'Pivot Table'!$C$3:$C$5</c:f>
              <c:numCache>
                <c:formatCode>_-* #,##0_-;\-* #,##0_-;_-* "-"??_-;_-@_-</c:formatCode>
                <c:ptCount val="2"/>
                <c:pt idx="0">
                  <c:v>59259.259259259263</c:v>
                </c:pt>
                <c:pt idx="1">
                  <c:v>61300.813008130084</c:v>
                </c:pt>
              </c:numCache>
            </c:numRef>
          </c:val>
          <c:extLst>
            <c:ext xmlns:c16="http://schemas.microsoft.com/office/drawing/2014/chart" uri="{C3380CC4-5D6E-409C-BE32-E72D297353CC}">
              <c16:uniqueId val="{00000001-E398-4956-8DC4-272B687265F2}"/>
            </c:ext>
          </c:extLst>
        </c:ser>
        <c:dLbls>
          <c:showLegendKey val="0"/>
          <c:showVal val="0"/>
          <c:showCatName val="0"/>
          <c:showSerName val="0"/>
          <c:showPercent val="0"/>
          <c:showBubbleSize val="0"/>
        </c:dLbls>
        <c:gapWidth val="100"/>
        <c:overlap val="-24"/>
        <c:axId val="844570176"/>
        <c:axId val="844571136"/>
      </c:barChart>
      <c:catAx>
        <c:axId val="844570176"/>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accent2">
                        <a:lumMod val="60000"/>
                        <a:lumOff val="40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accent2">
                      <a:lumMod val="60000"/>
                      <a:lumOff val="40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60000"/>
                    <a:lumOff val="40000"/>
                  </a:schemeClr>
                </a:solidFill>
                <a:latin typeface="+mn-lt"/>
                <a:ea typeface="+mn-ea"/>
                <a:cs typeface="+mn-cs"/>
              </a:defRPr>
            </a:pPr>
            <a:endParaRPr lang="en-US"/>
          </a:p>
        </c:txPr>
        <c:crossAx val="844571136"/>
        <c:crosses val="autoZero"/>
        <c:auto val="1"/>
        <c:lblAlgn val="ctr"/>
        <c:lblOffset val="100"/>
        <c:noMultiLvlLbl val="0"/>
      </c:catAx>
      <c:valAx>
        <c:axId val="8445711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accent2">
                        <a:lumMod val="60000"/>
                        <a:lumOff val="40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accent2">
                      <a:lumMod val="60000"/>
                      <a:lumOff val="40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60000"/>
                    <a:lumOff val="40000"/>
                  </a:schemeClr>
                </a:solidFill>
                <a:latin typeface="+mn-lt"/>
                <a:ea typeface="+mn-ea"/>
                <a:cs typeface="+mn-cs"/>
              </a:defRPr>
            </a:pPr>
            <a:endParaRPr lang="en-US"/>
          </a:p>
        </c:txPr>
        <c:crossAx val="84457017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accent2">
                    <a:lumMod val="60000"/>
                    <a:lumOff val="40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2">
                  <a:lumMod val="60000"/>
                  <a:lumOff val="4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solidFill>
    <a:ln w="9525" cap="flat" cmpd="sng" algn="ctr">
      <a:solidFill>
        <a:schemeClr val="tx1">
          <a:lumMod val="15000"/>
          <a:lumOff val="85000"/>
        </a:schemeClr>
      </a:solidFill>
      <a:round/>
    </a:ln>
    <a:effectLst/>
  </c:spPr>
  <c:txPr>
    <a:bodyPr/>
    <a:lstStyle/>
    <a:p>
      <a:pPr>
        <a:defRPr>
          <a:solidFill>
            <a:schemeClr val="accent2">
              <a:lumMod val="60000"/>
              <a:lumOff val="4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Project Dataset - Bike Sales Analysis.xlsx]Pivot Table!PivotTable2</c:name>
    <c:fmtId val="3"/>
  </c:pivotSource>
  <c:chart>
    <c:title>
      <c:tx>
        <c:rich>
          <a:bodyPr rot="0" spcFirstLastPara="1" vertOverflow="ellipsis" vert="horz" wrap="square" anchor="ctr" anchorCtr="1"/>
          <a:lstStyle/>
          <a:p>
            <a:pPr>
              <a:defRPr sz="1600" b="1" i="0" u="none" strike="noStrike" kern="1200" baseline="0">
                <a:solidFill>
                  <a:schemeClr val="accent2">
                    <a:lumMod val="60000"/>
                    <a:lumOff val="40000"/>
                  </a:schemeClr>
                </a:solidFill>
                <a:latin typeface="+mn-lt"/>
                <a:ea typeface="+mn-ea"/>
                <a:cs typeface="+mn-cs"/>
              </a:defRPr>
            </a:pPr>
            <a:r>
              <a:rPr lang="en-US"/>
              <a:t>Does Distance Influence Bike Ownership?</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accent2">
                  <a:lumMod val="60000"/>
                  <a:lumOff val="40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w="9525">
              <a:solidFill>
                <a:schemeClr val="accent2">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w="9525">
              <a:solidFill>
                <a:schemeClr val="accent2">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Table'!$C$21:$C$22</c:f>
              <c:strCache>
                <c:ptCount val="1"/>
                <c:pt idx="0">
                  <c:v>No</c:v>
                </c:pt>
              </c:strCache>
            </c:strRef>
          </c:tx>
          <c:spPr>
            <a:ln w="34925" cap="rnd">
              <a:solidFill>
                <a:schemeClr val="accent2">
                  <a:tint val="77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w="9525">
                <a:solidFill>
                  <a:schemeClr val="accent2">
                    <a:tint val="77000"/>
                  </a:schemeClr>
                </a:solidFill>
                <a:round/>
              </a:ln>
              <a:effectLst>
                <a:outerShdw blurRad="57150" dist="19050" dir="5400000" algn="ctr" rotWithShape="0">
                  <a:srgbClr val="000000">
                    <a:alpha val="63000"/>
                  </a:srgbClr>
                </a:outerShdw>
              </a:effectLst>
            </c:spPr>
          </c:marker>
          <c:cat>
            <c:strRef>
              <c:f>'Pivot Table'!$B$23:$B$28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107</c:v>
                </c:pt>
                <c:pt idx="1">
                  <c:v>50</c:v>
                </c:pt>
                <c:pt idx="2">
                  <c:v>37</c:v>
                </c:pt>
                <c:pt idx="3">
                  <c:v>63</c:v>
                </c:pt>
                <c:pt idx="4">
                  <c:v>50</c:v>
                </c:pt>
              </c:numCache>
            </c:numRef>
          </c:val>
          <c:smooth val="0"/>
          <c:extLst>
            <c:ext xmlns:c16="http://schemas.microsoft.com/office/drawing/2014/chart" uri="{C3380CC4-5D6E-409C-BE32-E72D297353CC}">
              <c16:uniqueId val="{00000000-70EC-44A4-AB4E-5197E9CF861F}"/>
            </c:ext>
          </c:extLst>
        </c:ser>
        <c:ser>
          <c:idx val="1"/>
          <c:order val="1"/>
          <c:tx>
            <c:strRef>
              <c:f>'Pivot Table'!$D$21:$D$22</c:f>
              <c:strCache>
                <c:ptCount val="1"/>
                <c:pt idx="0">
                  <c:v>Yes</c:v>
                </c:pt>
              </c:strCache>
            </c:strRef>
          </c:tx>
          <c:spPr>
            <a:ln w="34925" cap="rnd">
              <a:solidFill>
                <a:schemeClr val="accent2">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w="9525">
                <a:solidFill>
                  <a:schemeClr val="accent2">
                    <a:shade val="76000"/>
                  </a:schemeClr>
                </a:solidFill>
                <a:round/>
              </a:ln>
              <a:effectLst>
                <a:outerShdw blurRad="57150" dist="19050" dir="5400000" algn="ctr" rotWithShape="0">
                  <a:srgbClr val="000000">
                    <a:alpha val="63000"/>
                  </a:srgbClr>
                </a:outerShdw>
              </a:effectLst>
            </c:spPr>
          </c:marker>
          <c:cat>
            <c:strRef>
              <c:f>'Pivot Table'!$B$23:$B$28</c:f>
              <c:strCache>
                <c:ptCount val="5"/>
                <c:pt idx="0">
                  <c:v>0-1 Miles</c:v>
                </c:pt>
                <c:pt idx="1">
                  <c:v>1-2 Miles</c:v>
                </c:pt>
                <c:pt idx="2">
                  <c:v>2-5 Miles</c:v>
                </c:pt>
                <c:pt idx="3">
                  <c:v>5-10 Miles</c:v>
                </c:pt>
                <c:pt idx="4">
                  <c:v>More than 10 miles</c:v>
                </c:pt>
              </c:strCache>
            </c:strRef>
          </c:cat>
          <c:val>
            <c:numRef>
              <c:f>'Pivot Table'!$D$23:$D$28</c:f>
              <c:numCache>
                <c:formatCode>General</c:formatCode>
                <c:ptCount val="5"/>
                <c:pt idx="0">
                  <c:v>98</c:v>
                </c:pt>
                <c:pt idx="1">
                  <c:v>38</c:v>
                </c:pt>
                <c:pt idx="2">
                  <c:v>44</c:v>
                </c:pt>
                <c:pt idx="3">
                  <c:v>38</c:v>
                </c:pt>
                <c:pt idx="4">
                  <c:v>13</c:v>
                </c:pt>
              </c:numCache>
            </c:numRef>
          </c:val>
          <c:smooth val="0"/>
          <c:extLst>
            <c:ext xmlns:c16="http://schemas.microsoft.com/office/drawing/2014/chart" uri="{C3380CC4-5D6E-409C-BE32-E72D297353CC}">
              <c16:uniqueId val="{00000001-70EC-44A4-AB4E-5197E9CF861F}"/>
            </c:ext>
          </c:extLst>
        </c:ser>
        <c:dLbls>
          <c:showLegendKey val="0"/>
          <c:showVal val="0"/>
          <c:showCatName val="0"/>
          <c:showSerName val="0"/>
          <c:showPercent val="0"/>
          <c:showBubbleSize val="0"/>
        </c:dLbls>
        <c:marker val="1"/>
        <c:smooth val="0"/>
        <c:axId val="990757328"/>
        <c:axId val="990747248"/>
      </c:lineChart>
      <c:catAx>
        <c:axId val="990757328"/>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accent2">
                        <a:lumMod val="60000"/>
                        <a:lumOff val="40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accent2">
                      <a:lumMod val="60000"/>
                      <a:lumOff val="40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60000"/>
                    <a:lumOff val="40000"/>
                  </a:schemeClr>
                </a:solidFill>
                <a:latin typeface="+mn-lt"/>
                <a:ea typeface="+mn-ea"/>
                <a:cs typeface="+mn-cs"/>
              </a:defRPr>
            </a:pPr>
            <a:endParaRPr lang="en-US"/>
          </a:p>
        </c:txPr>
        <c:crossAx val="990747248"/>
        <c:crosses val="autoZero"/>
        <c:auto val="1"/>
        <c:lblAlgn val="ctr"/>
        <c:lblOffset val="100"/>
        <c:noMultiLvlLbl val="0"/>
      </c:catAx>
      <c:valAx>
        <c:axId val="990747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60000"/>
                    <a:lumOff val="40000"/>
                  </a:schemeClr>
                </a:solidFill>
                <a:latin typeface="+mn-lt"/>
                <a:ea typeface="+mn-ea"/>
                <a:cs typeface="+mn-cs"/>
              </a:defRPr>
            </a:pPr>
            <a:endParaRPr lang="en-US"/>
          </a:p>
        </c:txPr>
        <c:crossAx val="990757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2">
                  <a:lumMod val="60000"/>
                  <a:lumOff val="4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solidFill>
    <a:ln w="9525" cap="flat" cmpd="sng" algn="ctr">
      <a:solidFill>
        <a:schemeClr val="tx1">
          <a:lumMod val="15000"/>
          <a:lumOff val="85000"/>
        </a:schemeClr>
      </a:solidFill>
      <a:round/>
    </a:ln>
    <a:effectLst/>
  </c:spPr>
  <c:txPr>
    <a:bodyPr/>
    <a:lstStyle/>
    <a:p>
      <a:pPr>
        <a:defRPr>
          <a:solidFill>
            <a:schemeClr val="accent2">
              <a:lumMod val="60000"/>
              <a:lumOff val="4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Project Dataset - Bike Sales Analysis.xlsx]Pivot Table!PivotTable3</c:name>
    <c:fmtId val="3"/>
  </c:pivotSource>
  <c:chart>
    <c:title>
      <c:tx>
        <c:rich>
          <a:bodyPr rot="0" spcFirstLastPara="1" vertOverflow="ellipsis" vert="horz" wrap="square" anchor="ctr" anchorCtr="1"/>
          <a:lstStyle/>
          <a:p>
            <a:pPr>
              <a:defRPr sz="1600" b="1" i="0" u="none" strike="noStrike" kern="1200" baseline="0">
                <a:solidFill>
                  <a:schemeClr val="accent2">
                    <a:lumMod val="60000"/>
                    <a:lumOff val="40000"/>
                  </a:schemeClr>
                </a:solidFill>
                <a:latin typeface="+mn-lt"/>
                <a:ea typeface="+mn-ea"/>
                <a:cs typeface="+mn-cs"/>
              </a:defRPr>
            </a:pPr>
            <a:r>
              <a:rPr lang="en-US"/>
              <a:t>Age and Bike Ownership</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accent2">
                  <a:lumMod val="60000"/>
                  <a:lumOff val="40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w="9525">
              <a:solidFill>
                <a:schemeClr val="accent2">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w="9525">
              <a:solidFill>
                <a:schemeClr val="accent2">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Table'!$D$42:$D$43</c:f>
              <c:strCache>
                <c:ptCount val="1"/>
                <c:pt idx="0">
                  <c:v>No</c:v>
                </c:pt>
              </c:strCache>
            </c:strRef>
          </c:tx>
          <c:spPr>
            <a:ln w="34925" cap="rnd">
              <a:solidFill>
                <a:schemeClr val="accent2">
                  <a:tint val="77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w="9525">
                <a:solidFill>
                  <a:schemeClr val="accent2">
                    <a:tint val="77000"/>
                  </a:schemeClr>
                </a:solidFill>
                <a:round/>
              </a:ln>
              <a:effectLst>
                <a:outerShdw blurRad="57150" dist="19050" dir="5400000" algn="ctr" rotWithShape="0">
                  <a:srgbClr val="000000">
                    <a:alpha val="63000"/>
                  </a:srgbClr>
                </a:outerShdw>
              </a:effectLst>
            </c:spPr>
          </c:marker>
          <c:cat>
            <c:strRef>
              <c:f>'Pivot Table'!$C$44:$C$47</c:f>
              <c:strCache>
                <c:ptCount val="3"/>
                <c:pt idx="0">
                  <c:v>Adolescent</c:v>
                </c:pt>
                <c:pt idx="1">
                  <c:v>Middle Age</c:v>
                </c:pt>
                <c:pt idx="2">
                  <c:v>Old</c:v>
                </c:pt>
              </c:strCache>
            </c:strRef>
          </c:cat>
          <c:val>
            <c:numRef>
              <c:f>'Pivot Table'!$D$44:$D$47</c:f>
              <c:numCache>
                <c:formatCode>General</c:formatCode>
                <c:ptCount val="3"/>
                <c:pt idx="0">
                  <c:v>24</c:v>
                </c:pt>
                <c:pt idx="1">
                  <c:v>187</c:v>
                </c:pt>
                <c:pt idx="2">
                  <c:v>96</c:v>
                </c:pt>
              </c:numCache>
            </c:numRef>
          </c:val>
          <c:smooth val="0"/>
          <c:extLst>
            <c:ext xmlns:c16="http://schemas.microsoft.com/office/drawing/2014/chart" uri="{C3380CC4-5D6E-409C-BE32-E72D297353CC}">
              <c16:uniqueId val="{00000000-C3F5-4A40-95FF-B2FEED326685}"/>
            </c:ext>
          </c:extLst>
        </c:ser>
        <c:ser>
          <c:idx val="1"/>
          <c:order val="1"/>
          <c:tx>
            <c:strRef>
              <c:f>'Pivot Table'!$E$42:$E$43</c:f>
              <c:strCache>
                <c:ptCount val="1"/>
                <c:pt idx="0">
                  <c:v>Yes</c:v>
                </c:pt>
              </c:strCache>
            </c:strRef>
          </c:tx>
          <c:spPr>
            <a:ln w="34925" cap="rnd">
              <a:solidFill>
                <a:schemeClr val="accent2">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w="9525">
                <a:solidFill>
                  <a:schemeClr val="accent2">
                    <a:shade val="76000"/>
                  </a:schemeClr>
                </a:solidFill>
                <a:round/>
              </a:ln>
              <a:effectLst>
                <a:outerShdw blurRad="57150" dist="19050" dir="5400000" algn="ctr" rotWithShape="0">
                  <a:srgbClr val="000000">
                    <a:alpha val="63000"/>
                  </a:srgbClr>
                </a:outerShdw>
              </a:effectLst>
            </c:spPr>
          </c:marker>
          <c:cat>
            <c:strRef>
              <c:f>'Pivot Table'!$C$44:$C$47</c:f>
              <c:strCache>
                <c:ptCount val="3"/>
                <c:pt idx="0">
                  <c:v>Adolescent</c:v>
                </c:pt>
                <c:pt idx="1">
                  <c:v>Middle Age</c:v>
                </c:pt>
                <c:pt idx="2">
                  <c:v>Old</c:v>
                </c:pt>
              </c:strCache>
            </c:strRef>
          </c:cat>
          <c:val>
            <c:numRef>
              <c:f>'Pivot Table'!$E$44:$E$47</c:f>
              <c:numCache>
                <c:formatCode>General</c:formatCode>
                <c:ptCount val="3"/>
                <c:pt idx="0">
                  <c:v>14</c:v>
                </c:pt>
                <c:pt idx="1">
                  <c:v>185</c:v>
                </c:pt>
                <c:pt idx="2">
                  <c:v>32</c:v>
                </c:pt>
              </c:numCache>
            </c:numRef>
          </c:val>
          <c:smooth val="0"/>
          <c:extLst>
            <c:ext xmlns:c16="http://schemas.microsoft.com/office/drawing/2014/chart" uri="{C3380CC4-5D6E-409C-BE32-E72D297353CC}">
              <c16:uniqueId val="{00000001-C3F5-4A40-95FF-B2FEED326685}"/>
            </c:ext>
          </c:extLst>
        </c:ser>
        <c:dLbls>
          <c:showLegendKey val="0"/>
          <c:showVal val="0"/>
          <c:showCatName val="0"/>
          <c:showSerName val="0"/>
          <c:showPercent val="0"/>
          <c:showBubbleSize val="0"/>
        </c:dLbls>
        <c:marker val="1"/>
        <c:smooth val="0"/>
        <c:axId val="1080412480"/>
        <c:axId val="1080411040"/>
      </c:lineChart>
      <c:catAx>
        <c:axId val="108041248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accent2">
                        <a:lumMod val="60000"/>
                        <a:lumOff val="40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accent2">
                      <a:lumMod val="60000"/>
                      <a:lumOff val="40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60000"/>
                    <a:lumOff val="40000"/>
                  </a:schemeClr>
                </a:solidFill>
                <a:latin typeface="+mn-lt"/>
                <a:ea typeface="+mn-ea"/>
                <a:cs typeface="+mn-cs"/>
              </a:defRPr>
            </a:pPr>
            <a:endParaRPr lang="en-US"/>
          </a:p>
        </c:txPr>
        <c:crossAx val="1080411040"/>
        <c:crosses val="autoZero"/>
        <c:auto val="1"/>
        <c:lblAlgn val="ctr"/>
        <c:lblOffset val="100"/>
        <c:noMultiLvlLbl val="0"/>
      </c:catAx>
      <c:valAx>
        <c:axId val="1080411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60000"/>
                    <a:lumOff val="40000"/>
                  </a:schemeClr>
                </a:solidFill>
                <a:latin typeface="+mn-lt"/>
                <a:ea typeface="+mn-ea"/>
                <a:cs typeface="+mn-cs"/>
              </a:defRPr>
            </a:pPr>
            <a:endParaRPr lang="en-US"/>
          </a:p>
        </c:txPr>
        <c:crossAx val="1080412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2">
                  <a:lumMod val="60000"/>
                  <a:lumOff val="4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solidFill>
    <a:ln w="9525" cap="flat" cmpd="sng" algn="ctr">
      <a:solidFill>
        <a:schemeClr val="tx1">
          <a:lumMod val="15000"/>
          <a:lumOff val="85000"/>
        </a:schemeClr>
      </a:solidFill>
      <a:round/>
    </a:ln>
    <a:effectLst/>
  </c:spPr>
  <c:txPr>
    <a:bodyPr/>
    <a:lstStyle/>
    <a:p>
      <a:pPr>
        <a:defRPr>
          <a:solidFill>
            <a:schemeClr val="accent2">
              <a:lumMod val="60000"/>
              <a:lumOff val="4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colors6.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2115</xdr:colOff>
      <xdr:row>0</xdr:row>
      <xdr:rowOff>0</xdr:rowOff>
    </xdr:from>
    <xdr:to>
      <xdr:col>12</xdr:col>
      <xdr:colOff>516467</xdr:colOff>
      <xdr:row>16</xdr:row>
      <xdr:rowOff>110066</xdr:rowOff>
    </xdr:to>
    <xdr:graphicFrame macro="">
      <xdr:nvGraphicFramePr>
        <xdr:cNvPr id="2" name="Chart 1">
          <a:extLst>
            <a:ext uri="{FF2B5EF4-FFF2-40B4-BE49-F238E27FC236}">
              <a16:creationId xmlns:a16="http://schemas.microsoft.com/office/drawing/2014/main" id="{6BF82F1D-8854-6A75-41F3-2530A72228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605366</xdr:colOff>
      <xdr:row>20</xdr:row>
      <xdr:rowOff>4233</xdr:rowOff>
    </xdr:from>
    <xdr:to>
      <xdr:col>13</xdr:col>
      <xdr:colOff>300566</xdr:colOff>
      <xdr:row>34</xdr:row>
      <xdr:rowOff>139699</xdr:rowOff>
    </xdr:to>
    <xdr:graphicFrame macro="">
      <xdr:nvGraphicFramePr>
        <xdr:cNvPr id="3" name="Chart 2">
          <a:extLst>
            <a:ext uri="{FF2B5EF4-FFF2-40B4-BE49-F238E27FC236}">
              <a16:creationId xmlns:a16="http://schemas.microsoft.com/office/drawing/2014/main" id="{DE988B0E-E3F9-0468-313A-9919BC1215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605366</xdr:colOff>
      <xdr:row>40</xdr:row>
      <xdr:rowOff>182033</xdr:rowOff>
    </xdr:from>
    <xdr:to>
      <xdr:col>14</xdr:col>
      <xdr:colOff>300566</xdr:colOff>
      <xdr:row>55</xdr:row>
      <xdr:rowOff>131233</xdr:rowOff>
    </xdr:to>
    <xdr:graphicFrame macro="">
      <xdr:nvGraphicFramePr>
        <xdr:cNvPr id="4" name="Chart 3">
          <a:extLst>
            <a:ext uri="{FF2B5EF4-FFF2-40B4-BE49-F238E27FC236}">
              <a16:creationId xmlns:a16="http://schemas.microsoft.com/office/drawing/2014/main" id="{F61B879B-B8A4-FCEC-CE87-C9C7EBEE04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304800</xdr:colOff>
      <xdr:row>5</xdr:row>
      <xdr:rowOff>10885</xdr:rowOff>
    </xdr:from>
    <xdr:to>
      <xdr:col>9</xdr:col>
      <xdr:colOff>304800</xdr:colOff>
      <xdr:row>22</xdr:row>
      <xdr:rowOff>126999</xdr:rowOff>
    </xdr:to>
    <xdr:graphicFrame macro="">
      <xdr:nvGraphicFramePr>
        <xdr:cNvPr id="2" name="Chart 1">
          <a:extLst>
            <a:ext uri="{FF2B5EF4-FFF2-40B4-BE49-F238E27FC236}">
              <a16:creationId xmlns:a16="http://schemas.microsoft.com/office/drawing/2014/main" id="{0EDC46F7-5356-4E33-A524-666F003EBD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304800</xdr:colOff>
      <xdr:row>22</xdr:row>
      <xdr:rowOff>170542</xdr:rowOff>
    </xdr:from>
    <xdr:to>
      <xdr:col>17</xdr:col>
      <xdr:colOff>1880</xdr:colOff>
      <xdr:row>40</xdr:row>
      <xdr:rowOff>63500</xdr:rowOff>
    </xdr:to>
    <xdr:graphicFrame macro="">
      <xdr:nvGraphicFramePr>
        <xdr:cNvPr id="3" name="Chart 2">
          <a:extLst>
            <a:ext uri="{FF2B5EF4-FFF2-40B4-BE49-F238E27FC236}">
              <a16:creationId xmlns:a16="http://schemas.microsoft.com/office/drawing/2014/main" id="{52835E2F-838C-47B7-84A9-3DCB8B265C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293077</xdr:colOff>
      <xdr:row>5</xdr:row>
      <xdr:rowOff>10885</xdr:rowOff>
    </xdr:from>
    <xdr:to>
      <xdr:col>17</xdr:col>
      <xdr:colOff>0</xdr:colOff>
      <xdr:row>22</xdr:row>
      <xdr:rowOff>127000</xdr:rowOff>
    </xdr:to>
    <xdr:graphicFrame macro="">
      <xdr:nvGraphicFramePr>
        <xdr:cNvPr id="4" name="Chart 3">
          <a:extLst>
            <a:ext uri="{FF2B5EF4-FFF2-40B4-BE49-F238E27FC236}">
              <a16:creationId xmlns:a16="http://schemas.microsoft.com/office/drawing/2014/main" id="{4B606AAE-F77C-4319-B381-9F0619EF7F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1</xdr:rowOff>
    </xdr:from>
    <xdr:to>
      <xdr:col>2</xdr:col>
      <xdr:colOff>316523</xdr:colOff>
      <xdr:row>9</xdr:row>
      <xdr:rowOff>133352</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EC8C9D54-BE8F-17A8-10C5-1FAA83CF8563}"/>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925287"/>
              <a:ext cx="1535723" cy="8735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9966</xdr:rowOff>
    </xdr:from>
    <xdr:to>
      <xdr:col>2</xdr:col>
      <xdr:colOff>316523</xdr:colOff>
      <xdr:row>24</xdr:row>
      <xdr:rowOff>164124</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5B58EA06-3566-0557-99DF-03AD48BB0AA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2970880"/>
              <a:ext cx="1535723" cy="16346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150057</xdr:rowOff>
    </xdr:from>
    <xdr:to>
      <xdr:col>2</xdr:col>
      <xdr:colOff>316523</xdr:colOff>
      <xdr:row>15</xdr:row>
      <xdr:rowOff>175848</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BD51E33D-12D0-4885-6D90-3358757E100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815571"/>
              <a:ext cx="1535723" cy="11361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39.456680208335" createdVersion="8" refreshedVersion="8" minRefreshableVersion="3" recordCount="1000" xr:uid="{BEFF8772-7F69-4DEF-AD61-D8DFD2BED438}">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8">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4">
        <s v="Middle Age"/>
        <s v="Old"/>
        <s v="Adolescent"/>
        <s v="Young Adult" u="1"/>
      </sharedItems>
    </cacheField>
    <cacheField name="Purchased Bike" numFmtId="0">
      <sharedItems count="2">
        <s v="No"/>
        <s v="Yes"/>
      </sharedItems>
    </cacheField>
  </cacheFields>
  <extLst>
    <ext xmlns:x14="http://schemas.microsoft.com/office/spreadsheetml/2009/9/main" uri="{725AE2AE-9491-48be-B2B4-4EB974FC3084}">
      <x14:pivotCacheDefinition pivotCacheId="16103676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F7801C-F455-4DE7-8293-64F52ED2CB5F}" name="PivotTable4"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9:D114" firstHeaderRow="1" firstDataRow="2" firstDataCol="1"/>
  <pivotFields count="14">
    <pivotField showAll="0"/>
    <pivotField showAll="0"/>
    <pivotField showAll="0"/>
    <pivotField numFmtId="168" showAll="0"/>
    <pivotField showAll="0"/>
    <pivotField showAll="0"/>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307B9B-C1C6-4B1C-BA4D-8B1D0A19869E}" name="PivotTable3"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42:F47" firstHeaderRow="1" firstDataRow="2" firstDataCol="1"/>
  <pivotFields count="14">
    <pivotField showAll="0"/>
    <pivotField showAll="0">
      <items count="3">
        <item x="0"/>
        <item h="1" x="1"/>
        <item t="default"/>
      </items>
    </pivotField>
    <pivotField showAll="0"/>
    <pivotField numFmtId="168"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sortType="ascending">
      <items count="5">
        <item x="2"/>
        <item x="0"/>
        <item x="1"/>
        <item m="1" x="3"/>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A629A1-B4D3-4BB1-B1B6-810CF9AE2BAA}" name="PivotTable2"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21:E28" firstHeaderRow="1" firstDataRow="2" firstDataCol="1"/>
  <pivotFields count="14">
    <pivotField showAll="0"/>
    <pivotField showAll="0">
      <items count="3">
        <item x="0"/>
        <item h="1" x="1"/>
        <item t="default"/>
      </items>
    </pivotField>
    <pivotField showAll="0"/>
    <pivotField numFmtId="168"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6B0884-C348-42F5-B004-56B82C35B91D}" name="PivotTable1"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D5"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8"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1"/>
  </dataFields>
  <formats count="1">
    <format dxfId="18">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061F85EF-B5A2-4F2F-9023-5D5363DC25EB}" sourceName="Marital Status">
  <pivotTables>
    <pivotTable tabId="3" name="PivotTable1"/>
    <pivotTable tabId="3" name="PivotTable2"/>
    <pivotTable tabId="3" name="PivotTable3"/>
  </pivotTables>
  <data>
    <tabular pivotCacheId="1610367639">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F49189F3-613B-4AD9-87B9-C9A6F3B254BF}" sourceName="Education">
  <pivotTables>
    <pivotTable tabId="3" name="PivotTable1"/>
    <pivotTable tabId="3" name="PivotTable2"/>
    <pivotTable tabId="3" name="PivotTable3"/>
  </pivotTables>
  <data>
    <tabular pivotCacheId="1610367639">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B1FF333-FE48-4F33-B12E-06D4AEAD2325}" sourceName="Region">
  <pivotTables>
    <pivotTable tabId="3" name="PivotTable1"/>
    <pivotTable tabId="3" name="PivotTable2"/>
    <pivotTable tabId="3" name="PivotTable3"/>
  </pivotTables>
  <data>
    <tabular pivotCacheId="161036763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96B33D50-D356-4EB5-9CF7-D9BB053AE813}" cache="Slicer_Marital_Status" caption="Marital Status" style="SlicerStyleLight2" rowHeight="234950"/>
  <slicer name="Education" xr10:uid="{BD1BDB2D-24EA-47E3-A8F0-0BE5395C29C2}" cache="Slicer_Education" caption="Education" style="SlicerStyleLight2" rowHeight="234950"/>
  <slicer name="Region" xr10:uid="{0ABCDFE9-085B-4E7C-8F42-272466B7E722}" cache="Slicer_Region" caption="Region" style="SlicerStyleLight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zoomScale="70" zoomScaleNormal="70" workbookViewId="0">
      <selection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B487C-4C59-445C-89B8-239FF6D30C96}">
  <dimension ref="A1:N1001"/>
  <sheetViews>
    <sheetView topLeftCell="H1" workbookViewId="0">
      <selection activeCell="M3" sqref="M3"/>
    </sheetView>
  </sheetViews>
  <sheetFormatPr defaultRowHeight="14.4" x14ac:dyDescent="0.3"/>
  <cols>
    <col min="1" max="1" width="6" bestFit="1" customWidth="1"/>
    <col min="2" max="2" width="14.5546875" bestFit="1" customWidth="1"/>
    <col min="3" max="3" width="9.109375" bestFit="1" customWidth="1"/>
    <col min="4" max="4" width="12.33203125" style="3" bestFit="1" customWidth="1"/>
    <col min="5" max="5" width="9.88671875" bestFit="1" customWidth="1"/>
    <col min="6" max="6" width="16.21875" bestFit="1" customWidth="1"/>
    <col min="7" max="7" width="12.6640625" bestFit="1" customWidth="1"/>
    <col min="8" max="8" width="14" bestFit="1" customWidth="1"/>
    <col min="9" max="9" width="6.77734375" bestFit="1" customWidth="1"/>
    <col min="10" max="10" width="18.77734375" bestFit="1" customWidth="1"/>
    <col min="11" max="11" width="12.88671875" bestFit="1" customWidth="1"/>
    <col min="12" max="12" width="6.21875" bestFit="1" customWidth="1"/>
    <col min="13" max="13" width="13.6640625" bestFit="1" customWidth="1"/>
    <col min="14" max="14" width="15.5546875" bestFit="1"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IF(L2&gt;54, "Old",IF(L2&gt;=31, "Middle Age",IF(L2&lt;31,"Adolescent", "Invalid")))</f>
        <v>Middle Age</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IF(L3&gt;54, "Old",IF(L3&gt;=31, "Middle Age",IF(L3&lt;31,"Adolescent", "Invalid")))</f>
        <v>Middle Age</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 Age</v>
      </c>
      <c r="N5" t="s">
        <v>15</v>
      </c>
    </row>
    <row r="6" spans="1:14" x14ac:dyDescent="0.3">
      <c r="A6">
        <v>25597</v>
      </c>
      <c r="B6" t="s">
        <v>37</v>
      </c>
      <c r="C6" t="s">
        <v>39</v>
      </c>
      <c r="D6" s="3">
        <v>30000</v>
      </c>
      <c r="E6">
        <v>0</v>
      </c>
      <c r="F6" t="s">
        <v>13</v>
      </c>
      <c r="G6" t="s">
        <v>20</v>
      </c>
      <c r="H6" t="s">
        <v>18</v>
      </c>
      <c r="I6">
        <v>0</v>
      </c>
      <c r="J6" t="s">
        <v>16</v>
      </c>
      <c r="K6" t="s">
        <v>17</v>
      </c>
      <c r="L6">
        <v>36</v>
      </c>
      <c r="M6" t="str">
        <f t="shared" si="0"/>
        <v>Middle Age</v>
      </c>
      <c r="N6" t="s">
        <v>15</v>
      </c>
    </row>
    <row r="7" spans="1:14" x14ac:dyDescent="0.3">
      <c r="A7">
        <v>13507</v>
      </c>
      <c r="B7" t="s">
        <v>36</v>
      </c>
      <c r="C7" t="s">
        <v>38</v>
      </c>
      <c r="D7" s="3">
        <v>10000</v>
      </c>
      <c r="E7">
        <v>2</v>
      </c>
      <c r="F7" t="s">
        <v>19</v>
      </c>
      <c r="G7" t="s">
        <v>25</v>
      </c>
      <c r="H7" t="s">
        <v>15</v>
      </c>
      <c r="I7">
        <v>0</v>
      </c>
      <c r="J7" t="s">
        <v>26</v>
      </c>
      <c r="K7" t="s">
        <v>17</v>
      </c>
      <c r="L7">
        <v>50</v>
      </c>
      <c r="M7" t="str">
        <f t="shared" si="0"/>
        <v>Middle Age</v>
      </c>
      <c r="N7" t="s">
        <v>18</v>
      </c>
    </row>
    <row r="8" spans="1:14" x14ac:dyDescent="0.3">
      <c r="A8">
        <v>27974</v>
      </c>
      <c r="B8" t="s">
        <v>37</v>
      </c>
      <c r="C8" t="s">
        <v>39</v>
      </c>
      <c r="D8" s="3">
        <v>160000</v>
      </c>
      <c r="E8">
        <v>2</v>
      </c>
      <c r="F8" t="s">
        <v>27</v>
      </c>
      <c r="G8" t="s">
        <v>28</v>
      </c>
      <c r="H8" t="s">
        <v>15</v>
      </c>
      <c r="I8">
        <v>4</v>
      </c>
      <c r="J8" t="s">
        <v>16</v>
      </c>
      <c r="K8" t="s">
        <v>24</v>
      </c>
      <c r="L8">
        <v>33</v>
      </c>
      <c r="M8" t="str">
        <f t="shared" si="0"/>
        <v>Middle Age</v>
      </c>
      <c r="N8" t="s">
        <v>15</v>
      </c>
    </row>
    <row r="9" spans="1:14" x14ac:dyDescent="0.3">
      <c r="A9">
        <v>19364</v>
      </c>
      <c r="B9" t="s">
        <v>36</v>
      </c>
      <c r="C9" t="s">
        <v>39</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IF(L67&gt;54, "Old",IF(L67&gt;=31, "Middle Age",IF(L67&lt;31,"Adolescent", "Invalid")))</f>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IF(L131&gt;54, "Old",IF(L131&gt;=31, "Middle Age",IF(L131&lt;31,"Adolescent", "Invalid")))</f>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38</v>
      </c>
      <c r="D195" s="3">
        <v>70000</v>
      </c>
      <c r="E195">
        <v>5</v>
      </c>
      <c r="F195" t="s">
        <v>13</v>
      </c>
      <c r="G195" t="s">
        <v>21</v>
      </c>
      <c r="H195" t="s">
        <v>15</v>
      </c>
      <c r="I195">
        <v>4</v>
      </c>
      <c r="J195" t="s">
        <v>46</v>
      </c>
      <c r="K195" t="s">
        <v>24</v>
      </c>
      <c r="L195">
        <v>41</v>
      </c>
      <c r="M195" t="str">
        <f t="shared" ref="M195:M258" si="3">IF(L195&gt;54, "Old",IF(L195&gt;=31, "Middle Age",IF(L195&lt;31,"Adolescent", "Invalid")))</f>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IF(L259&gt;54, "Old",IF(L259&gt;=31, "Middle Age",IF(L259&lt;31,"Adolescent", "Invalid")))</f>
        <v>Middle Age</v>
      </c>
      <c r="N259" t="s">
        <v>15</v>
      </c>
    </row>
    <row r="260" spans="1:14" x14ac:dyDescent="0.3">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IF(L323&gt;54, "Old",IF(L323&gt;=31, "Middle Age",IF(L323&lt;31,"Adolescent", "Invalid")))</f>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IF(L387&gt;54, "Old",IF(L387&gt;=31, "Middle Age",IF(L387&lt;31,"Adolescent", "Invalid")))</f>
        <v>Middle Age</v>
      </c>
      <c r="N387" t="s">
        <v>18</v>
      </c>
    </row>
    <row r="388" spans="1:14" x14ac:dyDescent="0.3">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IF(L451&gt;54, "Old",IF(L451&gt;=31, "Middle Age",IF(L451&lt;31,"Adolescent", "Invalid")))</f>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3">
        <v>60000</v>
      </c>
      <c r="E515">
        <v>4</v>
      </c>
      <c r="F515" t="s">
        <v>31</v>
      </c>
      <c r="G515" t="s">
        <v>28</v>
      </c>
      <c r="H515" t="s">
        <v>15</v>
      </c>
      <c r="I515">
        <v>2</v>
      </c>
      <c r="J515" t="s">
        <v>46</v>
      </c>
      <c r="K515" t="s">
        <v>32</v>
      </c>
      <c r="L515">
        <v>61</v>
      </c>
      <c r="M515" t="str">
        <f t="shared" ref="M515:M578" si="8">IF(L515&gt;54, "Old",IF(L515&gt;=31, "Middle Age",IF(L515&lt;31,"Adolescent", "Invalid")))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IF(L579&gt;54, "Old",IF(L579&gt;=31, "Middle Age",IF(L579&lt;31,"Adolescent", "Invalid")))</f>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3">
        <v>50000</v>
      </c>
      <c r="E643">
        <v>4</v>
      </c>
      <c r="F643" t="s">
        <v>13</v>
      </c>
      <c r="G643" t="s">
        <v>28</v>
      </c>
      <c r="H643" t="s">
        <v>15</v>
      </c>
      <c r="I643">
        <v>2</v>
      </c>
      <c r="J643" t="s">
        <v>46</v>
      </c>
      <c r="K643" t="s">
        <v>32</v>
      </c>
      <c r="L643">
        <v>64</v>
      </c>
      <c r="M643" t="str">
        <f t="shared" ref="M643:M706" si="10">IF(L643&gt;54, "Old",IF(L643&gt;=31, "Middle Age",IF(L643&lt;31,"Adolescent", "Invalid")))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3">
        <v>70000</v>
      </c>
      <c r="E707">
        <v>4</v>
      </c>
      <c r="F707" t="s">
        <v>13</v>
      </c>
      <c r="G707" t="s">
        <v>28</v>
      </c>
      <c r="H707" t="s">
        <v>15</v>
      </c>
      <c r="I707">
        <v>1</v>
      </c>
      <c r="J707" t="s">
        <v>46</v>
      </c>
      <c r="K707" t="s">
        <v>32</v>
      </c>
      <c r="L707">
        <v>59</v>
      </c>
      <c r="M707" t="str">
        <f t="shared" ref="M707:M770" si="11">IF(L707&gt;54, "Old",IF(L707&gt;=31, "Middle Age",IF(L707&lt;31,"Adolescent", "Invalid")))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IF(L771&gt;54, "Old",IF(L771&gt;=31, "Middle Age",IF(L771&lt;31,"Adolescent", "Invalid")))</f>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IF(L835&gt;54, "Old",IF(L835&gt;=31, "Middle Age",IF(L835&lt;31,"Adolescent", "Invalid")))</f>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IF(L899&gt;54, "Old",IF(L899&gt;=31, "Middle Age",IF(L899&lt;31,"Adolescent", "Invalid")))</f>
        <v>Adolescent</v>
      </c>
      <c r="N899" t="s">
        <v>18</v>
      </c>
    </row>
    <row r="900" spans="1:14" x14ac:dyDescent="0.3">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IF(L963&gt;54, "Old",IF(L963&gt;=31, "Middle Age",IF(L963&lt;31,"Adolescent", "Invalid")))</f>
        <v>Old</v>
      </c>
      <c r="N963" t="s">
        <v>18</v>
      </c>
    </row>
    <row r="964" spans="1:14" x14ac:dyDescent="0.3">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autoFilter ref="A1:N1001" xr:uid="{84CB487C-4C59-445C-89B8-239FF6D30C9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677DE-7D57-4F04-86F8-5D69E4D4BBAD}">
  <dimension ref="A1:F114"/>
  <sheetViews>
    <sheetView topLeftCell="D33" zoomScale="90" zoomScaleNormal="90" workbookViewId="0">
      <selection activeCell="A59" sqref="A59"/>
    </sheetView>
  </sheetViews>
  <sheetFormatPr defaultRowHeight="14.4" x14ac:dyDescent="0.3"/>
  <cols>
    <col min="1" max="1" width="17.6640625" bestFit="1" customWidth="1"/>
    <col min="2" max="3" width="22.5546875" bestFit="1" customWidth="1"/>
    <col min="4" max="4" width="16.109375" bestFit="1" customWidth="1"/>
    <col min="5" max="5" width="4.44140625" bestFit="1" customWidth="1"/>
    <col min="6" max="6" width="11.21875" bestFit="1" customWidth="1"/>
  </cols>
  <sheetData>
    <row r="1" spans="1:4" x14ac:dyDescent="0.3">
      <c r="A1" s="5" t="s">
        <v>43</v>
      </c>
      <c r="B1" s="5" t="s">
        <v>44</v>
      </c>
    </row>
    <row r="2" spans="1:4" x14ac:dyDescent="0.3">
      <c r="A2" s="5" t="s">
        <v>41</v>
      </c>
      <c r="B2" t="s">
        <v>18</v>
      </c>
      <c r="C2" t="s">
        <v>15</v>
      </c>
      <c r="D2" t="s">
        <v>42</v>
      </c>
    </row>
    <row r="3" spans="1:4" x14ac:dyDescent="0.3">
      <c r="A3" s="6" t="s">
        <v>38</v>
      </c>
      <c r="B3" s="7">
        <v>54885.496183206109</v>
      </c>
      <c r="C3" s="7">
        <v>59259.259259259263</v>
      </c>
      <c r="D3" s="7">
        <v>56861.924686192469</v>
      </c>
    </row>
    <row r="4" spans="1:4" x14ac:dyDescent="0.3">
      <c r="A4" s="6" t="s">
        <v>39</v>
      </c>
      <c r="B4" s="7">
        <v>59431.818181818184</v>
      </c>
      <c r="C4" s="7">
        <v>61300.813008130084</v>
      </c>
      <c r="D4" s="7">
        <v>60200.668896321069</v>
      </c>
    </row>
    <row r="5" spans="1:4" x14ac:dyDescent="0.3">
      <c r="A5" s="6" t="s">
        <v>42</v>
      </c>
      <c r="B5" s="7">
        <v>57491.856677524433</v>
      </c>
      <c r="C5" s="7">
        <v>60346.320346320346</v>
      </c>
      <c r="D5" s="7">
        <v>58717.472118959107</v>
      </c>
    </row>
    <row r="21" spans="2:5" x14ac:dyDescent="0.3">
      <c r="B21" s="5" t="s">
        <v>45</v>
      </c>
      <c r="C21" s="5" t="s">
        <v>44</v>
      </c>
    </row>
    <row r="22" spans="2:5" x14ac:dyDescent="0.3">
      <c r="B22" s="5" t="s">
        <v>41</v>
      </c>
      <c r="C22" t="s">
        <v>18</v>
      </c>
      <c r="D22" t="s">
        <v>15</v>
      </c>
      <c r="E22" t="s">
        <v>42</v>
      </c>
    </row>
    <row r="23" spans="2:5" x14ac:dyDescent="0.3">
      <c r="B23" s="6" t="s">
        <v>16</v>
      </c>
      <c r="C23" s="4">
        <v>107</v>
      </c>
      <c r="D23" s="4">
        <v>98</v>
      </c>
      <c r="E23" s="4">
        <v>205</v>
      </c>
    </row>
    <row r="24" spans="2:5" x14ac:dyDescent="0.3">
      <c r="B24" s="6" t="s">
        <v>26</v>
      </c>
      <c r="C24" s="4">
        <v>50</v>
      </c>
      <c r="D24" s="4">
        <v>38</v>
      </c>
      <c r="E24" s="4">
        <v>88</v>
      </c>
    </row>
    <row r="25" spans="2:5" x14ac:dyDescent="0.3">
      <c r="B25" s="6" t="s">
        <v>22</v>
      </c>
      <c r="C25" s="4">
        <v>37</v>
      </c>
      <c r="D25" s="4">
        <v>44</v>
      </c>
      <c r="E25" s="4">
        <v>81</v>
      </c>
    </row>
    <row r="26" spans="2:5" x14ac:dyDescent="0.3">
      <c r="B26" s="6" t="s">
        <v>23</v>
      </c>
      <c r="C26" s="4">
        <v>63</v>
      </c>
      <c r="D26" s="4">
        <v>38</v>
      </c>
      <c r="E26" s="4">
        <v>101</v>
      </c>
    </row>
    <row r="27" spans="2:5" x14ac:dyDescent="0.3">
      <c r="B27" s="6" t="s">
        <v>46</v>
      </c>
      <c r="C27" s="4">
        <v>50</v>
      </c>
      <c r="D27" s="4">
        <v>13</v>
      </c>
      <c r="E27" s="4">
        <v>63</v>
      </c>
    </row>
    <row r="28" spans="2:5" x14ac:dyDescent="0.3">
      <c r="B28" s="6" t="s">
        <v>42</v>
      </c>
      <c r="C28" s="4">
        <v>307</v>
      </c>
      <c r="D28" s="4">
        <v>231</v>
      </c>
      <c r="E28" s="4">
        <v>538</v>
      </c>
    </row>
    <row r="42" spans="3:6" x14ac:dyDescent="0.3">
      <c r="C42" s="5" t="s">
        <v>45</v>
      </c>
      <c r="D42" s="5" t="s">
        <v>44</v>
      </c>
    </row>
    <row r="43" spans="3:6" x14ac:dyDescent="0.3">
      <c r="C43" s="5" t="s">
        <v>41</v>
      </c>
      <c r="D43" t="s">
        <v>18</v>
      </c>
      <c r="E43" t="s">
        <v>15</v>
      </c>
      <c r="F43" t="s">
        <v>42</v>
      </c>
    </row>
    <row r="44" spans="3:6" x14ac:dyDescent="0.3">
      <c r="C44" s="6" t="s">
        <v>49</v>
      </c>
      <c r="D44" s="4">
        <v>24</v>
      </c>
      <c r="E44" s="4">
        <v>14</v>
      </c>
      <c r="F44" s="4">
        <v>38</v>
      </c>
    </row>
    <row r="45" spans="3:6" x14ac:dyDescent="0.3">
      <c r="C45" s="6" t="s">
        <v>47</v>
      </c>
      <c r="D45" s="4">
        <v>187</v>
      </c>
      <c r="E45" s="4">
        <v>185</v>
      </c>
      <c r="F45" s="4">
        <v>372</v>
      </c>
    </row>
    <row r="46" spans="3:6" x14ac:dyDescent="0.3">
      <c r="C46" s="6" t="s">
        <v>48</v>
      </c>
      <c r="D46" s="4">
        <v>96</v>
      </c>
      <c r="E46" s="4">
        <v>32</v>
      </c>
      <c r="F46" s="4">
        <v>128</v>
      </c>
    </row>
    <row r="47" spans="3:6" x14ac:dyDescent="0.3">
      <c r="C47" s="6" t="s">
        <v>42</v>
      </c>
      <c r="D47" s="4">
        <v>307</v>
      </c>
      <c r="E47" s="4">
        <v>231</v>
      </c>
      <c r="F47" s="4">
        <v>538</v>
      </c>
    </row>
    <row r="59" spans="1:4" x14ac:dyDescent="0.3">
      <c r="A59" s="5" t="s">
        <v>45</v>
      </c>
      <c r="B59" s="5" t="s">
        <v>44</v>
      </c>
    </row>
    <row r="60" spans="1:4" x14ac:dyDescent="0.3">
      <c r="A60" s="5" t="s">
        <v>41</v>
      </c>
      <c r="B60" t="s">
        <v>18</v>
      </c>
      <c r="C60" t="s">
        <v>15</v>
      </c>
      <c r="D60" t="s">
        <v>42</v>
      </c>
    </row>
    <row r="61" spans="1:4" x14ac:dyDescent="0.3">
      <c r="A61" s="6">
        <v>25</v>
      </c>
      <c r="B61" s="4">
        <v>2</v>
      </c>
      <c r="C61" s="4">
        <v>4</v>
      </c>
      <c r="D61" s="4">
        <v>6</v>
      </c>
    </row>
    <row r="62" spans="1:4" x14ac:dyDescent="0.3">
      <c r="A62" s="6">
        <v>26</v>
      </c>
      <c r="B62" s="4">
        <v>8</v>
      </c>
      <c r="C62" s="4">
        <v>8</v>
      </c>
      <c r="D62" s="4">
        <v>16</v>
      </c>
    </row>
    <row r="63" spans="1:4" x14ac:dyDescent="0.3">
      <c r="A63" s="6">
        <v>27</v>
      </c>
      <c r="B63" s="4">
        <v>15</v>
      </c>
      <c r="C63" s="4">
        <v>8</v>
      </c>
      <c r="D63" s="4">
        <v>23</v>
      </c>
    </row>
    <row r="64" spans="1:4" x14ac:dyDescent="0.3">
      <c r="A64" s="6">
        <v>28</v>
      </c>
      <c r="B64" s="4">
        <v>12</v>
      </c>
      <c r="C64" s="4">
        <v>10</v>
      </c>
      <c r="D64" s="4">
        <v>22</v>
      </c>
    </row>
    <row r="65" spans="1:4" x14ac:dyDescent="0.3">
      <c r="A65" s="6">
        <v>29</v>
      </c>
      <c r="B65" s="4">
        <v>11</v>
      </c>
      <c r="C65" s="4">
        <v>5</v>
      </c>
      <c r="D65" s="4">
        <v>16</v>
      </c>
    </row>
    <row r="66" spans="1:4" x14ac:dyDescent="0.3">
      <c r="A66" s="6">
        <v>30</v>
      </c>
      <c r="B66" s="4">
        <v>23</v>
      </c>
      <c r="C66" s="4">
        <v>4</v>
      </c>
      <c r="D66" s="4">
        <v>27</v>
      </c>
    </row>
    <row r="67" spans="1:4" x14ac:dyDescent="0.3">
      <c r="A67" s="6">
        <v>31</v>
      </c>
      <c r="B67" s="4">
        <v>17</v>
      </c>
      <c r="C67" s="4">
        <v>8</v>
      </c>
      <c r="D67" s="4">
        <v>25</v>
      </c>
    </row>
    <row r="68" spans="1:4" x14ac:dyDescent="0.3">
      <c r="A68" s="6">
        <v>32</v>
      </c>
      <c r="B68" s="4">
        <v>19</v>
      </c>
      <c r="C68" s="4">
        <v>14</v>
      </c>
      <c r="D68" s="4">
        <v>33</v>
      </c>
    </row>
    <row r="69" spans="1:4" x14ac:dyDescent="0.3">
      <c r="A69" s="6">
        <v>33</v>
      </c>
      <c r="B69" s="4">
        <v>8</v>
      </c>
      <c r="C69" s="4">
        <v>13</v>
      </c>
      <c r="D69" s="4">
        <v>21</v>
      </c>
    </row>
    <row r="70" spans="1:4" x14ac:dyDescent="0.3">
      <c r="A70" s="6">
        <v>34</v>
      </c>
      <c r="B70" s="4">
        <v>12</v>
      </c>
      <c r="C70" s="4">
        <v>19</v>
      </c>
      <c r="D70" s="4">
        <v>31</v>
      </c>
    </row>
    <row r="71" spans="1:4" x14ac:dyDescent="0.3">
      <c r="A71" s="6">
        <v>35</v>
      </c>
      <c r="B71" s="4">
        <v>14</v>
      </c>
      <c r="C71" s="4">
        <v>22</v>
      </c>
      <c r="D71" s="4">
        <v>36</v>
      </c>
    </row>
    <row r="72" spans="1:4" x14ac:dyDescent="0.3">
      <c r="A72" s="6">
        <v>36</v>
      </c>
      <c r="B72" s="4">
        <v>7</v>
      </c>
      <c r="C72" s="4">
        <v>30</v>
      </c>
      <c r="D72" s="4">
        <v>37</v>
      </c>
    </row>
    <row r="73" spans="1:4" x14ac:dyDescent="0.3">
      <c r="A73" s="6">
        <v>37</v>
      </c>
      <c r="B73" s="4">
        <v>4</v>
      </c>
      <c r="C73" s="4">
        <v>28</v>
      </c>
      <c r="D73" s="4">
        <v>32</v>
      </c>
    </row>
    <row r="74" spans="1:4" x14ac:dyDescent="0.3">
      <c r="A74" s="6">
        <v>38</v>
      </c>
      <c r="B74" s="4">
        <v>8</v>
      </c>
      <c r="C74" s="4">
        <v>29</v>
      </c>
      <c r="D74" s="4">
        <v>37</v>
      </c>
    </row>
    <row r="75" spans="1:4" x14ac:dyDescent="0.3">
      <c r="A75" s="6">
        <v>39</v>
      </c>
      <c r="B75" s="4">
        <v>10</v>
      </c>
      <c r="C75" s="4">
        <v>12</v>
      </c>
      <c r="D75" s="4">
        <v>22</v>
      </c>
    </row>
    <row r="76" spans="1:4" x14ac:dyDescent="0.3">
      <c r="A76" s="6">
        <v>40</v>
      </c>
      <c r="B76" s="4">
        <v>24</v>
      </c>
      <c r="C76" s="4">
        <v>18</v>
      </c>
      <c r="D76" s="4">
        <v>42</v>
      </c>
    </row>
    <row r="77" spans="1:4" x14ac:dyDescent="0.3">
      <c r="A77" s="6">
        <v>41</v>
      </c>
      <c r="B77" s="4">
        <v>13</v>
      </c>
      <c r="C77" s="4">
        <v>15</v>
      </c>
      <c r="D77" s="4">
        <v>28</v>
      </c>
    </row>
    <row r="78" spans="1:4" x14ac:dyDescent="0.3">
      <c r="A78" s="6">
        <v>42</v>
      </c>
      <c r="B78" s="4">
        <v>22</v>
      </c>
      <c r="C78" s="4">
        <v>12</v>
      </c>
      <c r="D78" s="4">
        <v>34</v>
      </c>
    </row>
    <row r="79" spans="1:4" x14ac:dyDescent="0.3">
      <c r="A79" s="6">
        <v>43</v>
      </c>
      <c r="B79" s="4">
        <v>17</v>
      </c>
      <c r="C79" s="4">
        <v>19</v>
      </c>
      <c r="D79" s="4">
        <v>36</v>
      </c>
    </row>
    <row r="80" spans="1:4" x14ac:dyDescent="0.3">
      <c r="A80" s="6">
        <v>44</v>
      </c>
      <c r="B80" s="4">
        <v>15</v>
      </c>
      <c r="C80" s="4">
        <v>12</v>
      </c>
      <c r="D80" s="4">
        <v>27</v>
      </c>
    </row>
    <row r="81" spans="1:4" x14ac:dyDescent="0.3">
      <c r="A81" s="6">
        <v>45</v>
      </c>
      <c r="B81" s="4">
        <v>18</v>
      </c>
      <c r="C81" s="4">
        <v>13</v>
      </c>
      <c r="D81" s="4">
        <v>31</v>
      </c>
    </row>
    <row r="82" spans="1:4" x14ac:dyDescent="0.3">
      <c r="A82" s="6">
        <v>46</v>
      </c>
      <c r="B82" s="4">
        <v>12</v>
      </c>
      <c r="C82" s="4">
        <v>15</v>
      </c>
      <c r="D82" s="4">
        <v>27</v>
      </c>
    </row>
    <row r="83" spans="1:4" x14ac:dyDescent="0.3">
      <c r="A83" s="6">
        <v>47</v>
      </c>
      <c r="B83" s="4">
        <v>19</v>
      </c>
      <c r="C83" s="4">
        <v>20</v>
      </c>
      <c r="D83" s="4">
        <v>39</v>
      </c>
    </row>
    <row r="84" spans="1:4" x14ac:dyDescent="0.3">
      <c r="A84" s="6">
        <v>48</v>
      </c>
      <c r="B84" s="4">
        <v>16</v>
      </c>
      <c r="C84" s="4">
        <v>13</v>
      </c>
      <c r="D84" s="4">
        <v>29</v>
      </c>
    </row>
    <row r="85" spans="1:4" x14ac:dyDescent="0.3">
      <c r="A85" s="6">
        <v>49</v>
      </c>
      <c r="B85" s="4">
        <v>15</v>
      </c>
      <c r="C85" s="4">
        <v>8</v>
      </c>
      <c r="D85" s="4">
        <v>23</v>
      </c>
    </row>
    <row r="86" spans="1:4" x14ac:dyDescent="0.3">
      <c r="A86" s="6">
        <v>50</v>
      </c>
      <c r="B86" s="4">
        <v>12</v>
      </c>
      <c r="C86" s="4">
        <v>12</v>
      </c>
      <c r="D86" s="4">
        <v>24</v>
      </c>
    </row>
    <row r="87" spans="1:4" x14ac:dyDescent="0.3">
      <c r="A87" s="6">
        <v>51</v>
      </c>
      <c r="B87" s="4">
        <v>10</v>
      </c>
      <c r="C87" s="4">
        <v>12</v>
      </c>
      <c r="D87" s="4">
        <v>22</v>
      </c>
    </row>
    <row r="88" spans="1:4" x14ac:dyDescent="0.3">
      <c r="A88" s="6">
        <v>52</v>
      </c>
      <c r="B88" s="4">
        <v>10</v>
      </c>
      <c r="C88" s="4">
        <v>15</v>
      </c>
      <c r="D88" s="4">
        <v>25</v>
      </c>
    </row>
    <row r="89" spans="1:4" x14ac:dyDescent="0.3">
      <c r="A89" s="6">
        <v>53</v>
      </c>
      <c r="B89" s="4">
        <v>11</v>
      </c>
      <c r="C89" s="4">
        <v>13</v>
      </c>
      <c r="D89" s="4">
        <v>24</v>
      </c>
    </row>
    <row r="90" spans="1:4" x14ac:dyDescent="0.3">
      <c r="A90" s="6">
        <v>54</v>
      </c>
      <c r="B90" s="4">
        <v>5</v>
      </c>
      <c r="C90" s="4">
        <v>11</v>
      </c>
      <c r="D90" s="4">
        <v>16</v>
      </c>
    </row>
    <row r="91" spans="1:4" x14ac:dyDescent="0.3">
      <c r="A91" s="6">
        <v>55</v>
      </c>
      <c r="B91" s="4">
        <v>13</v>
      </c>
      <c r="C91" s="4">
        <v>5</v>
      </c>
      <c r="D91" s="4">
        <v>18</v>
      </c>
    </row>
    <row r="92" spans="1:4" x14ac:dyDescent="0.3">
      <c r="A92" s="6">
        <v>56</v>
      </c>
      <c r="B92" s="4">
        <v>13</v>
      </c>
      <c r="C92" s="4">
        <v>3</v>
      </c>
      <c r="D92" s="4">
        <v>16</v>
      </c>
    </row>
    <row r="93" spans="1:4" x14ac:dyDescent="0.3">
      <c r="A93" s="6">
        <v>57</v>
      </c>
      <c r="B93" s="4">
        <v>4</v>
      </c>
      <c r="C93" s="4">
        <v>4</v>
      </c>
      <c r="D93" s="4">
        <v>8</v>
      </c>
    </row>
    <row r="94" spans="1:4" x14ac:dyDescent="0.3">
      <c r="A94" s="6">
        <v>58</v>
      </c>
      <c r="B94" s="4">
        <v>8</v>
      </c>
      <c r="C94" s="4">
        <v>4</v>
      </c>
      <c r="D94" s="4">
        <v>12</v>
      </c>
    </row>
    <row r="95" spans="1:4" x14ac:dyDescent="0.3">
      <c r="A95" s="6">
        <v>59</v>
      </c>
      <c r="B95" s="4">
        <v>14</v>
      </c>
      <c r="C95" s="4">
        <v>6</v>
      </c>
      <c r="D95" s="4">
        <v>20</v>
      </c>
    </row>
    <row r="96" spans="1:4" x14ac:dyDescent="0.3">
      <c r="A96" s="6">
        <v>60</v>
      </c>
      <c r="B96" s="4">
        <v>8</v>
      </c>
      <c r="C96" s="4">
        <v>7</v>
      </c>
      <c r="D96" s="4">
        <v>15</v>
      </c>
    </row>
    <row r="97" spans="1:4" x14ac:dyDescent="0.3">
      <c r="A97" s="6">
        <v>61</v>
      </c>
      <c r="B97" s="4">
        <v>5</v>
      </c>
      <c r="C97" s="4">
        <v>4</v>
      </c>
      <c r="D97" s="4">
        <v>9</v>
      </c>
    </row>
    <row r="98" spans="1:4" x14ac:dyDescent="0.3">
      <c r="A98" s="6">
        <v>62</v>
      </c>
      <c r="B98" s="4">
        <v>9</v>
      </c>
      <c r="C98" s="4">
        <v>4</v>
      </c>
      <c r="D98" s="4">
        <v>13</v>
      </c>
    </row>
    <row r="99" spans="1:4" x14ac:dyDescent="0.3">
      <c r="A99" s="6">
        <v>63</v>
      </c>
      <c r="B99" s="4">
        <v>7</v>
      </c>
      <c r="C99" s="4">
        <v>2</v>
      </c>
      <c r="D99" s="4">
        <v>9</v>
      </c>
    </row>
    <row r="100" spans="1:4" x14ac:dyDescent="0.3">
      <c r="A100" s="6">
        <v>64</v>
      </c>
      <c r="B100" s="4">
        <v>7</v>
      </c>
      <c r="C100" s="4">
        <v>3</v>
      </c>
      <c r="D100" s="4">
        <v>10</v>
      </c>
    </row>
    <row r="101" spans="1:4" x14ac:dyDescent="0.3">
      <c r="A101" s="6">
        <v>65</v>
      </c>
      <c r="B101" s="4">
        <v>6</v>
      </c>
      <c r="C101" s="4">
        <v>3</v>
      </c>
      <c r="D101" s="4">
        <v>9</v>
      </c>
    </row>
    <row r="102" spans="1:4" x14ac:dyDescent="0.3">
      <c r="A102" s="6">
        <v>66</v>
      </c>
      <c r="B102" s="4">
        <v>8</v>
      </c>
      <c r="C102" s="4">
        <v>6</v>
      </c>
      <c r="D102" s="4">
        <v>14</v>
      </c>
    </row>
    <row r="103" spans="1:4" x14ac:dyDescent="0.3">
      <c r="A103" s="6">
        <v>67</v>
      </c>
      <c r="B103" s="4">
        <v>8</v>
      </c>
      <c r="C103" s="4">
        <v>2</v>
      </c>
      <c r="D103" s="4">
        <v>10</v>
      </c>
    </row>
    <row r="104" spans="1:4" x14ac:dyDescent="0.3">
      <c r="A104" s="6">
        <v>68</v>
      </c>
      <c r="B104" s="4">
        <v>3</v>
      </c>
      <c r="C104" s="4"/>
      <c r="D104" s="4">
        <v>3</v>
      </c>
    </row>
    <row r="105" spans="1:4" x14ac:dyDescent="0.3">
      <c r="A105" s="6">
        <v>69</v>
      </c>
      <c r="B105" s="4">
        <v>8</v>
      </c>
      <c r="C105" s="4"/>
      <c r="D105" s="4">
        <v>8</v>
      </c>
    </row>
    <row r="106" spans="1:4" x14ac:dyDescent="0.3">
      <c r="A106" s="6">
        <v>70</v>
      </c>
      <c r="B106" s="4">
        <v>3</v>
      </c>
      <c r="C106" s="4">
        <v>1</v>
      </c>
      <c r="D106" s="4">
        <v>4</v>
      </c>
    </row>
    <row r="107" spans="1:4" x14ac:dyDescent="0.3">
      <c r="A107" s="6">
        <v>71</v>
      </c>
      <c r="B107" s="4">
        <v>1</v>
      </c>
      <c r="C107" s="4"/>
      <c r="D107" s="4">
        <v>1</v>
      </c>
    </row>
    <row r="108" spans="1:4" x14ac:dyDescent="0.3">
      <c r="A108" s="6">
        <v>72</v>
      </c>
      <c r="B108" s="4"/>
      <c r="C108" s="4">
        <v>1</v>
      </c>
      <c r="D108" s="4">
        <v>1</v>
      </c>
    </row>
    <row r="109" spans="1:4" x14ac:dyDescent="0.3">
      <c r="A109" s="6">
        <v>73</v>
      </c>
      <c r="B109" s="4">
        <v>2</v>
      </c>
      <c r="C109" s="4">
        <v>2</v>
      </c>
      <c r="D109" s="4">
        <v>4</v>
      </c>
    </row>
    <row r="110" spans="1:4" x14ac:dyDescent="0.3">
      <c r="A110" s="6">
        <v>74</v>
      </c>
      <c r="B110" s="4"/>
      <c r="C110" s="4">
        <v>1</v>
      </c>
      <c r="D110" s="4">
        <v>1</v>
      </c>
    </row>
    <row r="111" spans="1:4" x14ac:dyDescent="0.3">
      <c r="A111" s="6">
        <v>78</v>
      </c>
      <c r="B111" s="4">
        <v>1</v>
      </c>
      <c r="C111" s="4">
        <v>1</v>
      </c>
      <c r="D111" s="4">
        <v>2</v>
      </c>
    </row>
    <row r="112" spans="1:4" x14ac:dyDescent="0.3">
      <c r="A112" s="6">
        <v>80</v>
      </c>
      <c r="B112" s="4">
        <v>1</v>
      </c>
      <c r="C112" s="4"/>
      <c r="D112" s="4">
        <v>1</v>
      </c>
    </row>
    <row r="113" spans="1:4" x14ac:dyDescent="0.3">
      <c r="A113" s="6">
        <v>89</v>
      </c>
      <c r="B113" s="4">
        <v>1</v>
      </c>
      <c r="C113" s="4"/>
      <c r="D113" s="4">
        <v>1</v>
      </c>
    </row>
    <row r="114" spans="1:4" x14ac:dyDescent="0.3">
      <c r="A114" s="6" t="s">
        <v>42</v>
      </c>
      <c r="B114" s="4">
        <v>519</v>
      </c>
      <c r="C114" s="4">
        <v>481</v>
      </c>
      <c r="D114" s="4">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A078B-77FD-471D-8897-6B7A5DAA4CBF}">
  <dimension ref="A1:Q40"/>
  <sheetViews>
    <sheetView showGridLines="0" tabSelected="1" zoomScale="70" zoomScaleNormal="70" workbookViewId="0">
      <selection activeCell="X16" sqref="X16"/>
    </sheetView>
  </sheetViews>
  <sheetFormatPr defaultRowHeight="14.4" x14ac:dyDescent="0.3"/>
  <sheetData>
    <row r="1" spans="1:17" ht="14.4" customHeight="1" x14ac:dyDescent="0.3">
      <c r="A1" s="9" t="s">
        <v>50</v>
      </c>
      <c r="B1" s="9"/>
      <c r="C1" s="9"/>
      <c r="D1" s="9"/>
      <c r="E1" s="9"/>
      <c r="F1" s="9"/>
      <c r="G1" s="9"/>
      <c r="H1" s="9"/>
      <c r="I1" s="9"/>
      <c r="J1" s="9"/>
      <c r="K1" s="9"/>
      <c r="L1" s="9"/>
      <c r="M1" s="9"/>
      <c r="N1" s="9"/>
      <c r="O1" s="9"/>
      <c r="P1" s="9"/>
      <c r="Q1" s="9"/>
    </row>
    <row r="2" spans="1:17" ht="14.4" customHeight="1" x14ac:dyDescent="0.3">
      <c r="A2" s="9"/>
      <c r="B2" s="9"/>
      <c r="C2" s="9"/>
      <c r="D2" s="9"/>
      <c r="E2" s="9"/>
      <c r="F2" s="9"/>
      <c r="G2" s="9"/>
      <c r="H2" s="9"/>
      <c r="I2" s="9"/>
      <c r="J2" s="9"/>
      <c r="K2" s="9"/>
      <c r="L2" s="9"/>
      <c r="M2" s="9"/>
      <c r="N2" s="9"/>
      <c r="O2" s="9"/>
      <c r="P2" s="9"/>
      <c r="Q2" s="9"/>
    </row>
    <row r="3" spans="1:17" ht="14.4" customHeight="1" x14ac:dyDescent="0.3">
      <c r="A3" s="9"/>
      <c r="B3" s="9"/>
      <c r="C3" s="9"/>
      <c r="D3" s="9"/>
      <c r="E3" s="9"/>
      <c r="F3" s="9"/>
      <c r="G3" s="9"/>
      <c r="H3" s="9"/>
      <c r="I3" s="9"/>
      <c r="J3" s="9"/>
      <c r="K3" s="9"/>
      <c r="L3" s="9"/>
      <c r="M3" s="9"/>
      <c r="N3" s="9"/>
      <c r="O3" s="9"/>
      <c r="P3" s="9"/>
      <c r="Q3" s="9"/>
    </row>
    <row r="4" spans="1:17" ht="14.4" customHeight="1" x14ac:dyDescent="0.3">
      <c r="A4" s="9"/>
      <c r="B4" s="9"/>
      <c r="C4" s="9"/>
      <c r="D4" s="9"/>
      <c r="E4" s="9"/>
      <c r="F4" s="9"/>
      <c r="G4" s="9"/>
      <c r="H4" s="9"/>
      <c r="I4" s="9"/>
      <c r="J4" s="9"/>
      <c r="K4" s="9"/>
      <c r="L4" s="9"/>
      <c r="M4" s="9"/>
      <c r="N4" s="9"/>
      <c r="O4" s="9"/>
      <c r="P4" s="9"/>
      <c r="Q4" s="9"/>
    </row>
    <row r="5" spans="1:17" ht="14.4" customHeight="1" x14ac:dyDescent="0.3">
      <c r="A5" s="9"/>
      <c r="B5" s="9"/>
      <c r="C5" s="9"/>
      <c r="D5" s="9"/>
      <c r="E5" s="9"/>
      <c r="F5" s="9"/>
      <c r="G5" s="9"/>
      <c r="H5" s="9"/>
      <c r="I5" s="9"/>
      <c r="J5" s="9"/>
      <c r="K5" s="9"/>
      <c r="L5" s="9"/>
      <c r="M5" s="9"/>
      <c r="N5" s="9"/>
      <c r="O5" s="9"/>
      <c r="P5" s="9"/>
      <c r="Q5" s="9"/>
    </row>
    <row r="6" spans="1:17" x14ac:dyDescent="0.3">
      <c r="A6" s="8"/>
      <c r="B6" s="8"/>
      <c r="C6" s="8"/>
      <c r="D6" s="8"/>
      <c r="E6" s="8"/>
      <c r="F6" s="8"/>
      <c r="G6" s="8"/>
      <c r="H6" s="8"/>
      <c r="I6" s="8"/>
      <c r="J6" s="8"/>
      <c r="K6" s="8"/>
      <c r="L6" s="8"/>
      <c r="M6" s="8"/>
      <c r="N6" s="8"/>
      <c r="O6" s="8"/>
      <c r="P6" s="8"/>
      <c r="Q6" s="8"/>
    </row>
    <row r="7" spans="1:17" x14ac:dyDescent="0.3">
      <c r="A7" s="8"/>
      <c r="B7" s="8"/>
      <c r="C7" s="8"/>
      <c r="D7" s="8"/>
      <c r="E7" s="8"/>
      <c r="F7" s="8"/>
      <c r="G7" s="8"/>
      <c r="H7" s="8"/>
      <c r="I7" s="8"/>
      <c r="J7" s="8"/>
      <c r="K7" s="8"/>
      <c r="L7" s="8"/>
      <c r="M7" s="8"/>
      <c r="N7" s="8"/>
      <c r="O7" s="8"/>
      <c r="P7" s="8"/>
      <c r="Q7" s="8"/>
    </row>
    <row r="8" spans="1:17" x14ac:dyDescent="0.3">
      <c r="A8" s="8"/>
      <c r="B8" s="8"/>
      <c r="C8" s="8"/>
      <c r="D8" s="8"/>
      <c r="E8" s="8"/>
      <c r="F8" s="8"/>
      <c r="G8" s="8"/>
      <c r="H8" s="8"/>
      <c r="I8" s="8"/>
      <c r="J8" s="8"/>
      <c r="K8" s="8"/>
      <c r="L8" s="8"/>
      <c r="M8" s="8"/>
      <c r="N8" s="8"/>
      <c r="O8" s="8"/>
      <c r="P8" s="8"/>
      <c r="Q8" s="8"/>
    </row>
    <row r="9" spans="1:17" x14ac:dyDescent="0.3">
      <c r="A9" s="8"/>
      <c r="B9" s="8"/>
      <c r="C9" s="8"/>
      <c r="D9" s="8"/>
      <c r="E9" s="8"/>
      <c r="F9" s="8"/>
      <c r="G9" s="8"/>
      <c r="H9" s="8"/>
      <c r="I9" s="8"/>
      <c r="J9" s="8"/>
      <c r="K9" s="8"/>
      <c r="L9" s="8"/>
      <c r="M9" s="8"/>
      <c r="N9" s="8"/>
      <c r="O9" s="8"/>
      <c r="P9" s="8"/>
      <c r="Q9" s="8"/>
    </row>
    <row r="10" spans="1:17" x14ac:dyDescent="0.3">
      <c r="A10" s="8"/>
      <c r="B10" s="8"/>
      <c r="C10" s="8"/>
      <c r="D10" s="8"/>
      <c r="E10" s="8"/>
      <c r="F10" s="8"/>
      <c r="G10" s="8"/>
      <c r="H10" s="8"/>
      <c r="I10" s="8"/>
      <c r="J10" s="8"/>
      <c r="K10" s="8"/>
      <c r="L10" s="8"/>
      <c r="M10" s="8"/>
      <c r="N10" s="8"/>
      <c r="O10" s="8"/>
      <c r="P10" s="8"/>
      <c r="Q10" s="8"/>
    </row>
    <row r="11" spans="1:17" x14ac:dyDescent="0.3">
      <c r="A11" s="8"/>
      <c r="B11" s="8"/>
      <c r="C11" s="8"/>
      <c r="D11" s="8"/>
      <c r="E11" s="8"/>
      <c r="F11" s="8"/>
      <c r="G11" s="8"/>
      <c r="H11" s="8"/>
      <c r="I11" s="8"/>
      <c r="J11" s="8"/>
      <c r="K11" s="8"/>
      <c r="L11" s="8"/>
      <c r="M11" s="8"/>
      <c r="N11" s="8"/>
      <c r="O11" s="8"/>
      <c r="P11" s="8"/>
      <c r="Q11" s="8"/>
    </row>
    <row r="12" spans="1:17" x14ac:dyDescent="0.3">
      <c r="A12" s="8"/>
      <c r="B12" s="8"/>
      <c r="C12" s="8"/>
      <c r="D12" s="8"/>
      <c r="E12" s="8"/>
      <c r="F12" s="8"/>
      <c r="G12" s="8"/>
      <c r="H12" s="8"/>
      <c r="I12" s="8"/>
      <c r="J12" s="8"/>
      <c r="K12" s="8"/>
      <c r="L12" s="8"/>
      <c r="M12" s="8"/>
      <c r="N12" s="8"/>
      <c r="O12" s="8"/>
      <c r="P12" s="8"/>
      <c r="Q12" s="8"/>
    </row>
    <row r="13" spans="1:17" x14ac:dyDescent="0.3">
      <c r="A13" s="8"/>
      <c r="B13" s="8"/>
      <c r="C13" s="8"/>
      <c r="D13" s="8"/>
      <c r="E13" s="8"/>
      <c r="F13" s="8"/>
      <c r="G13" s="8"/>
      <c r="H13" s="8"/>
      <c r="I13" s="8"/>
      <c r="J13" s="8"/>
      <c r="K13" s="8"/>
      <c r="L13" s="8"/>
      <c r="M13" s="8"/>
      <c r="N13" s="8"/>
      <c r="O13" s="8"/>
      <c r="P13" s="8"/>
      <c r="Q13" s="8"/>
    </row>
    <row r="14" spans="1:17" x14ac:dyDescent="0.3">
      <c r="A14" s="8"/>
      <c r="B14" s="8"/>
      <c r="C14" s="8"/>
      <c r="D14" s="8"/>
      <c r="E14" s="8"/>
      <c r="F14" s="8"/>
      <c r="G14" s="8"/>
      <c r="H14" s="8"/>
      <c r="I14" s="8"/>
      <c r="J14" s="8"/>
      <c r="K14" s="8"/>
      <c r="L14" s="8"/>
      <c r="M14" s="8"/>
      <c r="N14" s="8"/>
      <c r="O14" s="8"/>
      <c r="P14" s="8"/>
      <c r="Q14" s="8"/>
    </row>
    <row r="15" spans="1:17" x14ac:dyDescent="0.3">
      <c r="A15" s="8"/>
      <c r="B15" s="8"/>
      <c r="C15" s="8"/>
      <c r="D15" s="8"/>
      <c r="E15" s="8"/>
      <c r="F15" s="8"/>
      <c r="G15" s="8"/>
      <c r="H15" s="8"/>
      <c r="I15" s="8"/>
      <c r="J15" s="8"/>
      <c r="K15" s="8"/>
      <c r="L15" s="8"/>
      <c r="M15" s="8"/>
      <c r="N15" s="8"/>
      <c r="O15" s="8"/>
      <c r="P15" s="8"/>
      <c r="Q15" s="8"/>
    </row>
    <row r="16" spans="1:17" x14ac:dyDescent="0.3">
      <c r="A16" s="8"/>
      <c r="B16" s="8"/>
      <c r="C16" s="8"/>
      <c r="D16" s="8"/>
      <c r="E16" s="8"/>
      <c r="F16" s="8"/>
      <c r="G16" s="8"/>
      <c r="H16" s="8"/>
      <c r="I16" s="8"/>
      <c r="J16" s="8"/>
      <c r="K16" s="8"/>
      <c r="L16" s="8"/>
      <c r="M16" s="8"/>
      <c r="N16" s="8"/>
      <c r="O16" s="8"/>
      <c r="P16" s="8"/>
      <c r="Q16" s="8"/>
    </row>
    <row r="17" spans="1:17" x14ac:dyDescent="0.3">
      <c r="A17" s="8"/>
      <c r="B17" s="8"/>
      <c r="C17" s="8"/>
      <c r="D17" s="8"/>
      <c r="E17" s="8"/>
      <c r="F17" s="8"/>
      <c r="G17" s="8"/>
      <c r="H17" s="8"/>
      <c r="I17" s="8"/>
      <c r="J17" s="8"/>
      <c r="K17" s="8"/>
      <c r="L17" s="8"/>
      <c r="M17" s="8"/>
      <c r="N17" s="8"/>
      <c r="O17" s="8"/>
      <c r="P17" s="8"/>
      <c r="Q17" s="8"/>
    </row>
    <row r="18" spans="1:17" x14ac:dyDescent="0.3">
      <c r="A18" s="8"/>
      <c r="B18" s="8"/>
      <c r="C18" s="8"/>
      <c r="D18" s="8"/>
      <c r="E18" s="8"/>
      <c r="F18" s="8"/>
      <c r="G18" s="8"/>
      <c r="H18" s="8"/>
      <c r="I18" s="8"/>
      <c r="J18" s="8"/>
      <c r="K18" s="8"/>
      <c r="L18" s="8"/>
      <c r="M18" s="8"/>
      <c r="N18" s="8"/>
      <c r="O18" s="8"/>
      <c r="P18" s="8"/>
      <c r="Q18" s="8"/>
    </row>
    <row r="19" spans="1:17" x14ac:dyDescent="0.3">
      <c r="A19" s="8"/>
      <c r="B19" s="8"/>
      <c r="C19" s="8"/>
      <c r="D19" s="8"/>
      <c r="E19" s="8"/>
      <c r="F19" s="8"/>
      <c r="G19" s="8"/>
      <c r="H19" s="8"/>
      <c r="I19" s="8"/>
      <c r="J19" s="8"/>
      <c r="K19" s="8"/>
      <c r="L19" s="8"/>
      <c r="M19" s="8"/>
      <c r="N19" s="8"/>
      <c r="O19" s="8"/>
      <c r="P19" s="8"/>
      <c r="Q19" s="8"/>
    </row>
    <row r="20" spans="1:17" x14ac:dyDescent="0.3">
      <c r="A20" s="8"/>
      <c r="B20" s="8"/>
      <c r="C20" s="8"/>
      <c r="D20" s="8"/>
      <c r="E20" s="8"/>
      <c r="F20" s="8"/>
      <c r="G20" s="8"/>
      <c r="H20" s="8"/>
      <c r="I20" s="8"/>
      <c r="J20" s="8"/>
      <c r="K20" s="8"/>
      <c r="L20" s="8"/>
      <c r="M20" s="8"/>
      <c r="N20" s="8"/>
      <c r="O20" s="8"/>
      <c r="P20" s="8"/>
      <c r="Q20" s="8"/>
    </row>
    <row r="21" spans="1:17" x14ac:dyDescent="0.3">
      <c r="A21" s="8"/>
      <c r="B21" s="8"/>
      <c r="C21" s="8"/>
      <c r="D21" s="8"/>
      <c r="E21" s="8"/>
      <c r="F21" s="8"/>
      <c r="G21" s="8"/>
      <c r="H21" s="8"/>
      <c r="I21" s="8"/>
      <c r="J21" s="8"/>
      <c r="K21" s="8"/>
      <c r="L21" s="8"/>
      <c r="M21" s="8"/>
      <c r="N21" s="8"/>
      <c r="O21" s="8"/>
      <c r="P21" s="8"/>
      <c r="Q21" s="8"/>
    </row>
    <row r="22" spans="1:17" x14ac:dyDescent="0.3">
      <c r="A22" s="8"/>
      <c r="B22" s="8"/>
      <c r="C22" s="8"/>
      <c r="D22" s="8"/>
      <c r="E22" s="8"/>
      <c r="F22" s="8"/>
      <c r="G22" s="8"/>
      <c r="H22" s="8"/>
      <c r="I22" s="8"/>
      <c r="J22" s="8"/>
      <c r="K22" s="8"/>
      <c r="L22" s="8"/>
      <c r="M22" s="8"/>
      <c r="N22" s="8"/>
      <c r="O22" s="8"/>
      <c r="P22" s="8"/>
      <c r="Q22" s="8"/>
    </row>
    <row r="23" spans="1:17" x14ac:dyDescent="0.3">
      <c r="A23" s="8"/>
      <c r="B23" s="8"/>
      <c r="C23" s="8"/>
      <c r="D23" s="8"/>
      <c r="E23" s="8"/>
      <c r="F23" s="8"/>
      <c r="G23" s="8"/>
      <c r="H23" s="8"/>
      <c r="I23" s="8"/>
      <c r="J23" s="8"/>
      <c r="K23" s="8"/>
      <c r="L23" s="8"/>
      <c r="M23" s="8"/>
      <c r="N23" s="8"/>
      <c r="O23" s="8"/>
      <c r="P23" s="8"/>
      <c r="Q23" s="8"/>
    </row>
    <row r="24" spans="1:17" x14ac:dyDescent="0.3">
      <c r="A24" s="8"/>
      <c r="B24" s="8"/>
      <c r="C24" s="8"/>
      <c r="D24" s="8"/>
      <c r="E24" s="8"/>
      <c r="F24" s="8"/>
      <c r="G24" s="8"/>
      <c r="H24" s="8"/>
      <c r="I24" s="8"/>
      <c r="J24" s="8"/>
      <c r="K24" s="8"/>
      <c r="L24" s="8"/>
      <c r="M24" s="8"/>
      <c r="N24" s="8"/>
      <c r="O24" s="8"/>
      <c r="P24" s="8"/>
      <c r="Q24" s="8"/>
    </row>
    <row r="25" spans="1:17" x14ac:dyDescent="0.3">
      <c r="A25" s="8"/>
      <c r="B25" s="8"/>
      <c r="C25" s="8"/>
      <c r="D25" s="8"/>
      <c r="E25" s="8"/>
      <c r="F25" s="8"/>
      <c r="G25" s="8"/>
      <c r="H25" s="8"/>
      <c r="I25" s="8"/>
      <c r="J25" s="8"/>
      <c r="K25" s="8"/>
      <c r="L25" s="8"/>
      <c r="M25" s="8"/>
      <c r="N25" s="8"/>
      <c r="O25" s="8"/>
      <c r="P25" s="8"/>
      <c r="Q25" s="8"/>
    </row>
    <row r="26" spans="1:17" x14ac:dyDescent="0.3">
      <c r="A26" s="8"/>
      <c r="B26" s="8"/>
      <c r="C26" s="8"/>
      <c r="D26" s="8"/>
      <c r="E26" s="8"/>
      <c r="F26" s="8"/>
      <c r="G26" s="8"/>
      <c r="H26" s="8"/>
      <c r="I26" s="8"/>
      <c r="J26" s="8"/>
      <c r="K26" s="8"/>
      <c r="L26" s="8"/>
      <c r="M26" s="8"/>
      <c r="N26" s="8"/>
      <c r="O26" s="8"/>
      <c r="P26" s="8"/>
      <c r="Q26" s="8"/>
    </row>
    <row r="27" spans="1:17" x14ac:dyDescent="0.3">
      <c r="A27" s="8"/>
      <c r="B27" s="8"/>
      <c r="C27" s="8"/>
      <c r="D27" s="8"/>
      <c r="E27" s="8"/>
      <c r="F27" s="8"/>
      <c r="G27" s="8"/>
      <c r="H27" s="8"/>
      <c r="I27" s="8"/>
      <c r="J27" s="8"/>
      <c r="K27" s="8"/>
      <c r="L27" s="8"/>
      <c r="M27" s="8"/>
      <c r="N27" s="8"/>
      <c r="O27" s="8"/>
      <c r="P27" s="8"/>
      <c r="Q27" s="8"/>
    </row>
    <row r="28" spans="1:17" x14ac:dyDescent="0.3">
      <c r="A28" s="8"/>
      <c r="B28" s="8"/>
      <c r="C28" s="8"/>
      <c r="D28" s="8"/>
      <c r="E28" s="8"/>
      <c r="F28" s="8"/>
      <c r="G28" s="8"/>
      <c r="H28" s="8"/>
      <c r="I28" s="8"/>
      <c r="J28" s="8"/>
      <c r="K28" s="8"/>
      <c r="L28" s="8"/>
      <c r="M28" s="8"/>
      <c r="N28" s="8"/>
      <c r="O28" s="8"/>
      <c r="P28" s="8"/>
      <c r="Q28" s="8"/>
    </row>
    <row r="29" spans="1:17" x14ac:dyDescent="0.3">
      <c r="A29" s="8"/>
      <c r="B29" s="8"/>
      <c r="C29" s="8"/>
      <c r="D29" s="8"/>
      <c r="E29" s="8"/>
      <c r="F29" s="8"/>
      <c r="G29" s="8"/>
      <c r="H29" s="8"/>
      <c r="I29" s="8"/>
      <c r="J29" s="8"/>
      <c r="K29" s="8"/>
      <c r="L29" s="8"/>
      <c r="M29" s="8"/>
      <c r="N29" s="8"/>
      <c r="O29" s="8"/>
      <c r="P29" s="8"/>
      <c r="Q29" s="8"/>
    </row>
    <row r="30" spans="1:17" x14ac:dyDescent="0.3">
      <c r="A30" s="8"/>
      <c r="B30" s="8"/>
      <c r="C30" s="8"/>
      <c r="D30" s="8"/>
      <c r="E30" s="8"/>
      <c r="F30" s="8"/>
      <c r="G30" s="8"/>
      <c r="H30" s="8"/>
      <c r="I30" s="8"/>
      <c r="J30" s="8"/>
      <c r="K30" s="8"/>
      <c r="L30" s="8"/>
      <c r="M30" s="8"/>
      <c r="N30" s="8"/>
      <c r="O30" s="8"/>
      <c r="P30" s="8"/>
      <c r="Q30" s="8"/>
    </row>
    <row r="31" spans="1:17" x14ac:dyDescent="0.3">
      <c r="A31" s="8"/>
      <c r="B31" s="8"/>
      <c r="C31" s="8"/>
      <c r="D31" s="8"/>
      <c r="E31" s="8"/>
      <c r="F31" s="8"/>
      <c r="G31" s="8"/>
      <c r="H31" s="8"/>
      <c r="I31" s="8"/>
      <c r="J31" s="8"/>
      <c r="K31" s="8"/>
      <c r="L31" s="8"/>
      <c r="M31" s="8"/>
      <c r="N31" s="8"/>
      <c r="O31" s="8"/>
      <c r="P31" s="8"/>
      <c r="Q31" s="8"/>
    </row>
    <row r="32" spans="1:17" x14ac:dyDescent="0.3">
      <c r="A32" s="8"/>
      <c r="B32" s="8"/>
      <c r="C32" s="8"/>
      <c r="D32" s="8"/>
      <c r="E32" s="8"/>
      <c r="F32" s="8"/>
      <c r="G32" s="8"/>
      <c r="H32" s="8"/>
      <c r="I32" s="8"/>
      <c r="J32" s="8"/>
      <c r="K32" s="8"/>
      <c r="L32" s="8"/>
      <c r="M32" s="8"/>
      <c r="N32" s="8"/>
      <c r="O32" s="8"/>
      <c r="P32" s="8"/>
      <c r="Q32" s="8"/>
    </row>
    <row r="33" spans="1:17" x14ac:dyDescent="0.3">
      <c r="A33" s="8"/>
      <c r="B33" s="8"/>
      <c r="C33" s="8"/>
      <c r="D33" s="8"/>
      <c r="E33" s="8"/>
      <c r="F33" s="8"/>
      <c r="G33" s="8"/>
      <c r="H33" s="8"/>
      <c r="I33" s="8"/>
      <c r="J33" s="8"/>
      <c r="K33" s="8"/>
      <c r="L33" s="8"/>
      <c r="M33" s="8"/>
      <c r="N33" s="8"/>
      <c r="O33" s="8"/>
      <c r="P33" s="8"/>
      <c r="Q33" s="8"/>
    </row>
    <row r="34" spans="1:17" x14ac:dyDescent="0.3">
      <c r="A34" s="8"/>
      <c r="B34" s="8"/>
      <c r="C34" s="8"/>
      <c r="D34" s="8"/>
      <c r="E34" s="8"/>
      <c r="F34" s="8"/>
      <c r="G34" s="8"/>
      <c r="H34" s="8"/>
      <c r="I34" s="8"/>
      <c r="J34" s="8"/>
      <c r="K34" s="8"/>
      <c r="L34" s="8"/>
      <c r="M34" s="8"/>
      <c r="N34" s="8"/>
      <c r="O34" s="8"/>
      <c r="P34" s="8"/>
      <c r="Q34" s="8"/>
    </row>
    <row r="35" spans="1:17" x14ac:dyDescent="0.3">
      <c r="A35" s="8"/>
      <c r="B35" s="8"/>
      <c r="C35" s="8"/>
      <c r="D35" s="8"/>
      <c r="E35" s="8"/>
      <c r="F35" s="8"/>
      <c r="G35" s="8"/>
      <c r="H35" s="8"/>
      <c r="I35" s="8"/>
      <c r="J35" s="8"/>
      <c r="K35" s="8"/>
      <c r="L35" s="8"/>
      <c r="M35" s="8"/>
      <c r="N35" s="8"/>
      <c r="O35" s="8"/>
      <c r="P35" s="8"/>
      <c r="Q35" s="8"/>
    </row>
    <row r="36" spans="1:17" x14ac:dyDescent="0.3">
      <c r="A36" s="8"/>
      <c r="B36" s="8"/>
      <c r="C36" s="8"/>
      <c r="D36" s="8"/>
      <c r="E36" s="8"/>
      <c r="F36" s="8"/>
      <c r="G36" s="8"/>
      <c r="H36" s="8"/>
      <c r="I36" s="8"/>
      <c r="J36" s="8"/>
      <c r="K36" s="8"/>
      <c r="L36" s="8"/>
      <c r="M36" s="8"/>
      <c r="N36" s="8"/>
      <c r="O36" s="8"/>
      <c r="P36" s="8"/>
      <c r="Q36" s="8"/>
    </row>
    <row r="37" spans="1:17" x14ac:dyDescent="0.3">
      <c r="A37" s="8"/>
      <c r="B37" s="8"/>
      <c r="C37" s="8"/>
      <c r="D37" s="8"/>
      <c r="E37" s="8"/>
      <c r="F37" s="8"/>
      <c r="G37" s="8"/>
      <c r="H37" s="8"/>
      <c r="I37" s="8"/>
      <c r="J37" s="8"/>
      <c r="K37" s="8"/>
      <c r="L37" s="8"/>
      <c r="M37" s="8"/>
      <c r="N37" s="8"/>
      <c r="O37" s="8"/>
      <c r="P37" s="8"/>
      <c r="Q37" s="8"/>
    </row>
    <row r="38" spans="1:17" x14ac:dyDescent="0.3">
      <c r="A38" s="8"/>
      <c r="B38" s="8"/>
      <c r="C38" s="8"/>
      <c r="D38" s="8"/>
      <c r="E38" s="8"/>
      <c r="F38" s="8"/>
      <c r="G38" s="8"/>
      <c r="H38" s="8"/>
      <c r="I38" s="8"/>
      <c r="J38" s="8"/>
      <c r="K38" s="8"/>
      <c r="L38" s="8"/>
      <c r="M38" s="8"/>
      <c r="N38" s="8"/>
      <c r="O38" s="8"/>
      <c r="P38" s="8"/>
      <c r="Q38" s="8"/>
    </row>
    <row r="39" spans="1:17" x14ac:dyDescent="0.3">
      <c r="A39" s="8"/>
      <c r="B39" s="8"/>
      <c r="C39" s="8"/>
      <c r="D39" s="8"/>
      <c r="E39" s="8"/>
      <c r="F39" s="8"/>
      <c r="G39" s="8"/>
      <c r="H39" s="8"/>
      <c r="I39" s="8"/>
      <c r="J39" s="8"/>
      <c r="K39" s="8"/>
      <c r="L39" s="8"/>
      <c r="M39" s="8"/>
      <c r="N39" s="8"/>
      <c r="O39" s="8"/>
      <c r="P39" s="8"/>
      <c r="Q39" s="8"/>
    </row>
    <row r="40" spans="1:17" x14ac:dyDescent="0.3">
      <c r="A40" s="8"/>
      <c r="B40" s="8"/>
      <c r="C40" s="8"/>
      <c r="D40" s="8"/>
      <c r="E40" s="8"/>
      <c r="F40" s="8"/>
      <c r="G40" s="8"/>
      <c r="H40" s="8"/>
      <c r="I40" s="8"/>
      <c r="J40" s="8"/>
      <c r="K40" s="8"/>
      <c r="L40" s="8"/>
      <c r="M40" s="8"/>
      <c r="N40" s="8"/>
      <c r="O40" s="8"/>
      <c r="P40" s="8"/>
      <c r="Q40" s="8"/>
    </row>
  </sheetData>
  <mergeCells count="1">
    <mergeCell ref="A1:Q5"/>
  </mergeCells>
  <pageMargins left="0.7" right="0.7" top="0.75" bottom="0.75" header="0.3" footer="0.3"/>
  <pageSetup orientation="portrait" horizontalDpi="300" verticalDpi="30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Blessing Akinbile</dc:creator>
  <cp:lastModifiedBy>lenovo</cp:lastModifiedBy>
  <dcterms:created xsi:type="dcterms:W3CDTF">2022-03-18T02:50:57Z</dcterms:created>
  <dcterms:modified xsi:type="dcterms:W3CDTF">2025-10-09T12:22:30Z</dcterms:modified>
</cp:coreProperties>
</file>